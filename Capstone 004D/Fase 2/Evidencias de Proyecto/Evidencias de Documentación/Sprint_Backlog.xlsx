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Criterio de estimación" sheetId="3" r:id="rId6"/>
  </sheets>
  <definedNames/>
  <calcPr/>
  <extLst>
    <ext uri="GoogleSheetsCustomDataVersion2">
      <go:sheetsCustomData xmlns:go="http://customooxmlschemas.google.com/" r:id="rId7" roundtripDataChecksum="2ynZn81Qefl39NYTfGc56Afhj+Bwr2tsezmohQTOPAs="/>
    </ext>
  </extLst>
</workbook>
</file>

<file path=xl/sharedStrings.xml><?xml version="1.0" encoding="utf-8"?>
<sst xmlns="http://schemas.openxmlformats.org/spreadsheetml/2006/main" count="433" uniqueCount="246">
  <si>
    <t>Criterio de estimación de horas</t>
  </si>
  <si>
    <t>Lista de tareas de la iteración (Product Backlog): Instructivo</t>
  </si>
  <si>
    <t>Las horas estimadas salen de los puntos de historia del Product Backlog: horas de la historia = puntos × 2, repartidas en partes iguales entre sus tareas. Las tareas sin historia de usuario (N/A) se estimaron directamente. Son estimaciones iniciales, pendientes de validar por el equipo. Las horas consumidas (Cons.) son una reconstrucción aproximada, explicada más abajo.</t>
  </si>
  <si>
    <t>Metodologías ágiles: Lista de tareas de la iteración</t>
  </si>
  <si>
    <t>Sprint</t>
  </si>
  <si>
    <t>Elaborado por: pmoinformatica.com</t>
  </si>
  <si>
    <t>Tema</t>
  </si>
  <si>
    <t>Horas estimadas</t>
  </si>
  <si>
    <t>Análisis de problemática y solución</t>
  </si>
  <si>
    <t>Columna</t>
  </si>
  <si>
    <t>Instrucciones</t>
  </si>
  <si>
    <t>Planificación y definición</t>
  </si>
  <si>
    <t>(Sprint Backlog)</t>
  </si>
  <si>
    <t>Login y conexión a BD</t>
  </si>
  <si>
    <t>Código que hace referencia al elemento de la pila de producto (Product Backlog) al cual la tarea de la iteración hace referencia.</t>
  </si>
  <si>
    <t>Vista del paciente</t>
  </si>
  <si>
    <t>Enunciado o nombre del elemento de pila de producto (Product Backlog). En la mayoría de los casos, el nombre asignado al elemento de product backlog es el mismo de la historia de usuario.</t>
  </si>
  <si>
    <t>Vista del psicólogo</t>
  </si>
  <si>
    <t>Tarea</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</si>
  <si>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</si>
  <si>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Agente H.O.P.E.</t>
  </si>
  <si>
    <t>Dueño / Voluntario</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</si>
  <si>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</si>
  <si>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Revisiones finales y testing</t>
  </si>
  <si>
    <t>Estatus</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</si>
  <si>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</si>
  <si>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Presentación final</t>
  </si>
  <si>
    <t>Horas estimadas totales</t>
  </si>
  <si>
    <t>Horas que han sido estimadas por el equipo Scrum que serán necesarias para ejecutar la tarea. La asignación de estimados se realiza durante la reunión de planificación de la iteración (Sprint Planning Meeting).</t>
  </si>
  <si>
    <t>Total</t>
  </si>
  <si>
    <t>Día 1 …. Día n</t>
  </si>
  <si>
    <t>Día 1</t>
  </si>
  <si>
    <t>Una vez comienza a ejecutarse la iteración, se utilizan las columnas para llevar un registro de las horas que se han consumido en cada tarea y cuantas horas restan para completarla.</t>
  </si>
  <si>
    <t>Horas consumidas (reconstrucción)</t>
  </si>
  <si>
    <t>Cons.</t>
  </si>
  <si>
    <t>Horas consumidas en la tarea en el día especificado.</t>
  </si>
  <si>
    <t>No existe un registro diario de horas. Se reconstruyeron a partir de lo informado por el equipo: una dedicación al proyecto de unas 5 horas diarias por integrante. Solo se registran las horas de las tareas de desarrollo listadas en este archivo, con un máximo de 3 horas por día por integrante; el resto de la dedicación (reuniones, documentación, pruebas y aprendizaje) no está incluida. Las horas se repartieron entre las tareas ya realizadas de cada sprint, en el orden de la lista y según su dueño. En los sprints 3 y 5, donde el trabajo estimado de un integrante superaba ese máximo, las horas estimadas de esas tareas se ajustaron proporcionalmente. En el sprint 5 se registran todas las tareas terminadas hasta el 14/10/2026 (8 días hábiles); como su trabajo estimado superaba la capacidad de ese período, sus horas se ajustaron proporcionalmente, en tramos de media hora. Los sprints 6 a 8 no tienen horas consumidas porque aún no comienzan.</t>
  </si>
  <si>
    <t>Rest.</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</si>
  <si>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</si>
  <si>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</si>
  <si>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</si>
  <si>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</si>
  <si>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</si>
  <si>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</si>
  <si>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</si>
  <si>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</si>
  <si>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</si>
  <si>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</si>
  <si>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</si>
  <si>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</si>
  <si>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</si>
  <si>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</si>
  <si>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</si>
  <si>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</si>
  <si>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</si>
  <si>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</si>
  <si>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</si>
  <si>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</si>
  <si>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</si>
  <si>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Identificador (ID) de item de product backlog</t>
  </si>
  <si>
    <t>Enunciado del item de Product Backlog</t>
  </si>
  <si>
    <t>Sprint 1  ·  10/08/2026 al 23/08/2026  ·  Análisis de problemática y solución
N/A</t>
  </si>
  <si>
    <t>Sin historia de usuario (actividad de documentación)</t>
  </si>
  <si>
    <t>Analizar la problemática y las necesidades de pacientes y psicólogos</t>
  </si>
  <si>
    <t>Ambos</t>
  </si>
  <si>
    <t>Hecho</t>
  </si>
  <si>
    <t>Definir los requerimientos funcionales y no funcionales</t>
  </si>
  <si>
    <t>Definir la propuesta de solución PsicoHábitos-IA</t>
  </si>
  <si>
    <t>Sprint 2  ·  24/08/2026 al 06/09/2026  ·  Planificación y definición del proyecto
N/A</t>
  </si>
  <si>
    <t>Definir el alcance, la arquitectura y las tecnologías del proyecto</t>
  </si>
  <si>
    <t>Planificar los 8 sprints en la Carta Gantt</t>
  </si>
  <si>
    <t>Documentar la definición del proyecto (Guía de la Fase 1)</t>
  </si>
  <si>
    <t>Crear el repositorio del proyecto en GitHub</t>
  </si>
  <si>
    <t>Yosvani</t>
  </si>
  <si>
    <t xml:space="preserve">Sprint 3  ·  07/09/2026 al 20/09/2026  ·  Desarrollo de login y conexión a la base de datos
HU-AUTH-0001
</t>
  </si>
  <si>
    <t>Como un usuario, necesito iniciar sesión con mi correo y contraseña, con la finalidad de acceder de forma segura a mi perfil</t>
  </si>
  <si>
    <t>Implementar el login unificado</t>
  </si>
  <si>
    <t>HU-AUTH-0002</t>
  </si>
  <si>
    <t>Como un usuario, necesito que el sistema verifique si mi correo ya está registrado, con la finalidad de guiarme al flujo de acceso correcto</t>
  </si>
  <si>
    <t>Implementar la verificación de correo</t>
  </si>
  <si>
    <t>HU-AUTH-0003</t>
  </si>
  <si>
    <t>Como un usuario nuevo, necesito activar mi cuenta con un código enviado a mi correo, con la finalidad de validar mi identidad antes de usar la app</t>
  </si>
  <si>
    <t>Implementar la activación de cuenta con código</t>
  </si>
  <si>
    <t>HU-AUTH-0004</t>
  </si>
  <si>
    <t>Como un usuario nuevo, necesito crear mi contraseña inicial cumpliendo requisitos de seguridad, con la finalidad de proteger mi cuenta</t>
  </si>
  <si>
    <t>Implementar la creación de la contraseña inicial</t>
  </si>
  <si>
    <t>HU-AUTH-0005</t>
  </si>
  <si>
    <t>Como un usuario, necesito recuperar mi contraseña mediante un código enviado a mi correo, con la finalidad de volver a ingresar si la olvido</t>
  </si>
  <si>
    <t>Implementar el flujo de recuperación de contraseña</t>
  </si>
  <si>
    <t>HU-AUTH-0007</t>
  </si>
  <si>
    <t>Como un usuario, necesito cerrar sesión desde mi perfil, con la finalidad de proteger mi cuenta en dispositivos compartidos</t>
  </si>
  <si>
    <t>Agregar cerrar sesión en el perfil</t>
  </si>
  <si>
    <t>HU-AUTH-0008</t>
  </si>
  <si>
    <t>Como un usuario, necesito que mi sesión se guarde de forma segura en el dispositivo, con la finalidad de no tener que iniciar sesión cada vez</t>
  </si>
  <si>
    <t>Implementar la persistencia segura de la sesión</t>
  </si>
  <si>
    <t>HU-SEGU-0001</t>
  </si>
  <si>
    <t>Como un usuario, necesito leer y aceptar los términos de tratamiento de datos (Ley N° 21.719) al ingresar, con la finalidad de autorizar el uso de mi información</t>
  </si>
  <si>
    <t>Integrar el consentimiento de la Ley N° 21.719</t>
  </si>
  <si>
    <t>Realizar la auditoría legal de la Ley N° 21.719</t>
  </si>
  <si>
    <t>HU-SEGU-0002</t>
  </si>
  <si>
    <t>Como un usuario del sistema, necesito que cada perfil solo acceda a la información que le corresponde, con la finalidad de proteger datos sensibles de salud</t>
  </si>
  <si>
    <t>Implementar la autenticación con JWT</t>
  </si>
  <si>
    <t>Mitigar las vulnerabilidades BOLA/IDOR</t>
  </si>
  <si>
    <t>HU-SEGU-0003</t>
  </si>
  <si>
    <t>Como un usuario, necesito que el sistema limite los intentos repetidos de acceso y de códigos, con la finalidad de evitar abusos y ataques de fuerza bruta</t>
  </si>
  <si>
    <t>Implementar rate limiting</t>
  </si>
  <si>
    <t>N/A</t>
  </si>
  <si>
    <t>Sin historia de usuario (tareas técnicas del proyecto)</t>
  </si>
  <si>
    <t>Reestructurar el proyecto en FrontEnd, BackEnd y schema.sql</t>
  </si>
  <si>
    <t>Implementar la API del backend e integrarla con la app</t>
  </si>
  <si>
    <t>Resolver la IP de la API de forma dinámica</t>
  </si>
  <si>
    <t xml:space="preserve">Sprint 4  ·  21/09/2026 al 04/10/2026  ·  Desarrollo de la vista del paciente
HU-HABI-0001
</t>
  </si>
  <si>
    <t>Como un paciente, necesito registrar cada día mis seis hábitos (comida, ejercicio, hidratación, sueño, ansiedad y estrés), con la finalidad de dar seguimiento a mi bienestar</t>
  </si>
  <si>
    <t>Implementar la validación de los 6 hábitos</t>
  </si>
  <si>
    <t>Ajustar colores, tarjetas y textos de la pestaña de hábitos</t>
  </si>
  <si>
    <t>Vanessa</t>
  </si>
  <si>
    <t>HU-HABI-0002</t>
  </si>
  <si>
    <t>Como un paciente, necesito indicar los litros de agua y las horas de sueño, con la finalidad de que mi registro sea más preciso</t>
  </si>
  <si>
    <t>Integrar el registro de litros de hidratación y horas de sueño</t>
  </si>
  <si>
    <t>HU-HABI-0003</t>
  </si>
  <si>
    <t>Como un paciente, necesito ver cuántos hábitos llevo registrados hoy, con la finalidad de saber cuánto me falta por completar</t>
  </si>
  <si>
    <t>Mostrar el avance del día (n/6)</t>
  </si>
  <si>
    <t>HU-HABI-0004</t>
  </si>
  <si>
    <t>Como un paciente, necesito que, una vez registrados los hábitos del día, no se puedan duplicar, con la finalidad de mantener un registro consistente</t>
  </si>
  <si>
    <t>Evitar que se duplique el registro del día</t>
  </si>
  <si>
    <t>HU-EJER-0001</t>
  </si>
  <si>
    <t>Como un paciente, necesito acceder a ejercicios de respiración y relajación para ansiedad, sueño y estrés, con la finalidad de trabajar mis hábitos entre sesiones</t>
  </si>
  <si>
    <t>Crear el catálogo de recursos del paciente</t>
  </si>
  <si>
    <t>Ajustar textos y diseño de la pestaña de ejercicios</t>
  </si>
  <si>
    <t>HU-EJER-0002</t>
  </si>
  <si>
    <t>Como un paciente, necesito ver videos de ejemplo de cada ejercicio, con la finalidad de realizarlos correctamente</t>
  </si>
  <si>
    <t>Cargar los videos reales de los ejercicios</t>
  </si>
  <si>
    <t>Por iniciar</t>
  </si>
  <si>
    <t>HU-SESI-0001</t>
  </si>
  <si>
    <t>Como un paciente, necesito ver mis próximas citas y mi historial de sesiones, con la finalidad de organizar mi proceso terapéutico</t>
  </si>
  <si>
    <t>Ajustar iconos, colores y pantalla de sesiones del paciente</t>
  </si>
  <si>
    <t>HU-PERF-0001</t>
  </si>
  <si>
    <t>Como un paciente, necesito ver mi perfil y mi psicólogo asignado, con la finalidad de conocer mis datos y quién atiende mi caso</t>
  </si>
  <si>
    <t>Implementar el perfil del paciente</t>
  </si>
  <si>
    <t xml:space="preserve">Sprint 5  ·  05/10/2026 al 18/10/2026  ·  Desarrollo de la vista del psicólogo
HU-PACI-0001
</t>
  </si>
  <si>
    <t>Como un psicólogo, necesito registrar a un paciente y verificar si ya existe, con la finalidad de evitar duplicados y asociarlo a mi atención</t>
  </si>
  <si>
    <t>Implementar el registro de paciente por el psicólogo</t>
  </si>
  <si>
    <t>Agregar validaciones a los campos del registro</t>
  </si>
  <si>
    <t>Validar que el correo no se repita</t>
  </si>
  <si>
    <t>HU-PACI-0002</t>
  </si>
  <si>
    <t>Como un psicólogo, necesito ver el listado de mis pacientes y abrir su ficha, con la finalidad de gestionar mi atención</t>
  </si>
  <si>
    <t>Implementar el panel del psicólogo</t>
  </si>
  <si>
    <t>Mostrar los últimos 5 pacientes en la pestaña principal</t>
  </si>
  <si>
    <t>HU-PACI-0003</t>
  </si>
  <si>
    <t>Como un psicólogo, necesito ver mis pacientes ordenados alfabéticamente, con la finalidad de encontrarlos más rápido</t>
  </si>
  <si>
    <t>Ordenar el listado de pacientes alfabéticamente</t>
  </si>
  <si>
    <t>HU-PACI-0004</t>
  </si>
  <si>
    <t>Como un psicólogo, necesito ver la ficha de un paciente con sus datos y edad, con la finalidad de conocer su información antes de la sesión</t>
  </si>
  <si>
    <t>Crear la pestaña de ficha del paciente</t>
  </si>
  <si>
    <t>Calcular la edad del paciente de forma dinámica</t>
  </si>
  <si>
    <t>HU-PACI-0005</t>
  </si>
  <si>
    <t>Como un psicólogo, necesito ver la agenda del día en mi pantalla de inicio, con la finalidad de planificar mi jornada</t>
  </si>
  <si>
    <t>Modificar la pestaña de inicio del psicólogo</t>
  </si>
  <si>
    <t>HU-PACI-0006</t>
  </si>
  <si>
    <t>Como un psicólogo, necesito vincular a un paciente que ya está registrado, como suplente temporal o titular permanente, con la finalidad de continuar su atención sin duplicar sus datos</t>
  </si>
  <si>
    <t>Implementar la búsqueda de un paciente ya registrado por correo</t>
  </si>
  <si>
    <t>Implementar la vinculación como suplente temporal o titular permanente, con código de autorización</t>
  </si>
  <si>
    <t>Agendar la primera sesión desde la vinculación</t>
  </si>
  <si>
    <t>HU-AGEN-0001</t>
  </si>
  <si>
    <t>Como un psicólogo, necesito agendar una sesión indicando fecha, hora, duración, modalidad y observaciones, con la finalidad de programar la atención de mis pacientes</t>
  </si>
  <si>
    <t>Implementar el módulo de reservas de citas</t>
  </si>
  <si>
    <t>Agregar la selección de duración de la sesión</t>
  </si>
  <si>
    <t>HU-AGEN-0002</t>
  </si>
  <si>
    <t>Como un psicólogo, necesito que la app no me deje elegir fechas u horas pasadas ni fechas a más de 6 meses, con la finalidad de evitar errores al agendar</t>
  </si>
  <si>
    <t>Agregar validaciones a la reserva de sesión</t>
  </si>
  <si>
    <t>HU-AGEN-0003</t>
  </si>
  <si>
    <t>Como un psicólogo, necesito que la app no permita agendar sesiones que se crucen con otras, con la finalidad de mantener una agenda confiable</t>
  </si>
  <si>
    <t>Evitar choques de horario al agendar</t>
  </si>
  <si>
    <t>HU-AGEN-0004</t>
  </si>
  <si>
    <t>Como un psicólogo, necesito ver un calendario clínico semanal con mis citas, con la finalidad de revisar sesiones actuales y futuras</t>
  </si>
  <si>
    <t>Implementar el calendario clínico semanal</t>
  </si>
  <si>
    <t>Mejorar el calendario</t>
  </si>
  <si>
    <t>HU-AGEN-0005</t>
  </si>
  <si>
    <t>Como un psicólogo, necesito modificar la fecha u hora de una sesión, con la finalidad de reprogramar cuando sea necesario</t>
  </si>
  <si>
    <t>Implementar la reprogramación de citas</t>
  </si>
  <si>
    <t>HU-AGEN-0006</t>
  </si>
  <si>
    <t>Como un psicólogo, necesito cancelar una sesión programada, con la finalidad de liberar el horario cuando no se realizará</t>
  </si>
  <si>
    <t>Implementar la cancelación de sesiones programadas</t>
  </si>
  <si>
    <t>HU-AGEN-0007</t>
  </si>
  <si>
    <t>Como un psicólogo, necesito revisar el historial de sesiones de un paciente por páginas, con la finalidad de consultar su atención sin una lista muy larga</t>
  </si>
  <si>
    <t>Paginar el historial de sesiones de 3 en 3</t>
  </si>
  <si>
    <t>HU-AUTH-0006</t>
  </si>
  <si>
    <t>Como un usuario con perfil de paciente y de psicólogo, necesito alternar entre ambos perfiles, con la finalidad de usar la app en los dos roles sin cerrar sesión</t>
  </si>
  <si>
    <t>Implementar la arquitectura multi-rol</t>
  </si>
  <si>
    <t>HU-SEGU-0004</t>
  </si>
  <si>
    <t>Como un administrador del servicio, necesito que el registro de pacientes y el agendamiento requieran una suscripción activa, con la finalidad de controlar el uso de la plataforma</t>
  </si>
  <si>
    <t>Implementar el sistema de suscripciones para especialistas</t>
  </si>
  <si>
    <t>HU-PERF-0002</t>
  </si>
  <si>
    <t>Como un psicólogo, necesito ver mi perfil y el estado de mi suscripción, con la finalidad de saber si mi cuenta está activa</t>
  </si>
  <si>
    <t>Implementar el perfil del psicólogo con el estado de su suscripción</t>
  </si>
  <si>
    <t>HU-ADMI-0001</t>
  </si>
  <si>
    <t>Como un administrador, necesito registrar a un nuevo psicólogo desde una página web, con la finalidad de dar de alta a los especialistas</t>
  </si>
  <si>
    <t>Implementar el registro de psicólogos desde la página web</t>
  </si>
  <si>
    <t>HU-ADMI-0002</t>
  </si>
  <si>
    <t>Como un administrador, necesito ver a los psicólogos y actualizar su suscripción desde una página web, con la finalidad de controlar quién puede usar la plataforma</t>
  </si>
  <si>
    <t>Implementar la gestión de suscripciones desde la página web</t>
  </si>
  <si>
    <t>HU-SEGU-0006</t>
  </si>
  <si>
    <t>Como un administrador del servicio, necesito que el panel de administración y el registro de psicólogos exijan autenticación, con la finalidad de que solo personal autorizado cree especialistas y modifique suscripciones</t>
  </si>
  <si>
    <t>Exigir autenticación en el panel de administración</t>
  </si>
  <si>
    <t>Exigir autenticación en el registro de psicólogos</t>
  </si>
  <si>
    <t>HU-DASH-0001</t>
  </si>
  <si>
    <t>Como un psicólogo, necesito un dashboard con los hábitos de cada paciente, con la fecha de cada registro, con la finalidad de analizar su evolución entre sesiones</t>
  </si>
  <si>
    <t>Diseñar la pantalla del dashboard de hábitos</t>
  </si>
  <si>
    <t>Consultar el historial de hábitos del paciente desde el backend</t>
  </si>
  <si>
    <t>Mostrar los hábitos con la fecha de cada registro</t>
  </si>
  <si>
    <t>HU-DASH-0002</t>
  </si>
  <si>
    <t>Como un psicólogo, necesito elegir el rango de días o fechas específicas del dashboard y ver los promedios, con la finalidad de revisar el período que me interesa</t>
  </si>
  <si>
    <t>Agregar el selector de rango de fechas</t>
  </si>
  <si>
    <t>Calcular los promedios del período elegido</t>
  </si>
  <si>
    <t xml:space="preserve">Sprint 6  ·  19/10/2026 al 01/11/2026  ·  Desarrollo del agente H.O.P.E.
HU-HOPE-0001
</t>
  </si>
  <si>
    <t>Como un paciente, necesito una pantalla de conversación con H.O.P.E., con la finalidad de acceder al apoyo entre sesiones</t>
  </si>
  <si>
    <t>Integrar la pantalla de H.O.P.E. en la navegación del paciente</t>
  </si>
  <si>
    <t>En proceso</t>
  </si>
  <si>
    <t>HU-HOPE-0002</t>
  </si>
  <si>
    <t>Como un paciente, necesito que H.O.P.E. me responda usando un modelo de inteligencia artificial, con la finalidad de recibir acompañamiento entre sesiones</t>
  </si>
  <si>
    <t>Conectar H.O.P.E. a un modelo de inteligencia artificial</t>
  </si>
  <si>
    <t>HU-HOPE-0003</t>
  </si>
  <si>
    <t>Como un paciente, necesito que H.O.P.E. responda dentro de instrucciones y límites definidos, con la finalidad de recibir apoyo seguro que no reemplaza a mi psicólogo</t>
  </si>
  <si>
    <t>Definir las instrucciones y los límites del agente</t>
  </si>
  <si>
    <t>HU-HOPE-0004</t>
  </si>
  <si>
    <t>Como un paciente, necesito poder hablar con H.O.P.E. desde el registro de mis hábitos, con la finalidad de pedir apoyo cuando lo estime conveniente</t>
  </si>
  <si>
    <t>Agregar el acceso a H.O.P.E. desde el registro de hábitos</t>
  </si>
  <si>
    <t>HU-EJER-0003</t>
  </si>
  <si>
    <t>Como un paciente, necesito que H.O.P.E. me recomiende ejercicios y respiraciones, con la finalidad de manejar mi ansiedad o estrés en el momento</t>
  </si>
  <si>
    <t>Hacer que H.O.P.E. recomiende ejercicios y respiraciones</t>
  </si>
  <si>
    <t>HU-SEGU-0005</t>
  </si>
  <si>
    <t>Como un paciente, necesito que mis conversaciones con H.O.P.E. se guarden cifradas, con la finalidad de proteger mi información</t>
  </si>
  <si>
    <t>Cifrar las conversaciones con H.O.P.E.</t>
  </si>
  <si>
    <t>HU-DASH-0003</t>
  </si>
  <si>
    <t>Como un psicólogo, necesito consultar las conversaciones del paciente con H.O.P.E., con su consentimiento, con la finalidad de complementar el seguimiento</t>
  </si>
  <si>
    <t>Mostrar al psicólogo las conversaciones con H.O.P.E. (con consentimiento)</t>
  </si>
  <si>
    <t xml:space="preserve">Sprint 7  ·  02/11/2026 al 15/11/2026  ·  Revisiones finales y testing
HU-TEST-0001
</t>
  </si>
  <si>
    <t>Como un equipo de desarrollo, necesito probar y corregir las funcionalidades, con la finalidad de verificar el cumplimiento de los requerimientos</t>
  </si>
  <si>
    <t>Realizar pruebas funcionales y de integración</t>
  </si>
  <si>
    <t>Corregir los errores encontrados</t>
  </si>
  <si>
    <t>Analizar la calidad del código con SonarQube</t>
  </si>
  <si>
    <t xml:space="preserve">Sprint 8  ·  16/11/2026 al 29/11/2026  ·  Presentación final del proyecto
N/A
</t>
  </si>
  <si>
    <t>Sin historia de usuario (actividad de cierre del proyecto)</t>
  </si>
  <si>
    <t>Preparar la presentación final</t>
  </si>
  <si>
    <t>Demostrar las funcionalidades implementadas</t>
  </si>
  <si>
    <t>Presentar los resultados y el cumplimiento de los objetivos</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</si>
</sst>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6.0"/>
      <color theme="1"/>
      <name val="Calibri"/>
    </font>
    <font>
      <sz val="11.0"/>
      <color theme="1"/>
      <name val="Calibri"/>
    </font>
    <font>
      <b/>
      <sz val="22.0"/>
      <color theme="1"/>
      <name val="Calibri"/>
    </font>
    <font>
      <b/>
      <sz val="11.0"/>
      <color rgb="FFFFFFFF"/>
      <name val="Calibri"/>
    </font>
    <font>
      <b/>
      <sz val="16.0"/>
      <color rgb="FF1F497D"/>
      <name val="Calibri"/>
    </font>
    <font>
      <sz val="11.0"/>
      <color theme="0"/>
      <name val="Calibri"/>
    </font>
    <font>
      <b/>
      <sz val="11.0"/>
      <color theme="1"/>
      <name val="Calibri"/>
    </font>
    <font>
      <b/>
      <sz val="12.0"/>
      <color theme="1"/>
      <name val="Calibri"/>
    </font>
    <font/>
    <font>
      <sz val="11.0"/>
      <color rgb="FF000000"/>
      <name val="Calibri"/>
    </font>
    <font>
      <b/>
      <sz val="11.0"/>
      <color rgb="FF000000"/>
      <name val="Calibri"/>
    </font>
    <font>
      <sz val="11.0"/>
      <color rgb="FFFFFFFF"/>
      <name val="Calibri"/>
    </font>
  </fonts>
  <fills count="10">
    <fill>
      <patternFill patternType="none"/>
    </fill>
    <fill>
      <patternFill patternType="lightGray"/>
    </fill>
    <fill>
      <patternFill patternType="solid">
        <fgColor theme="0"/>
        <bgColor theme="0"/>
      </patternFill>
    </fill>
    <fill>
      <patternFill patternType="solid">
        <fgColor rgb="FF1F4E79"/>
        <bgColor rgb="FF1F4E79"/>
      </patternFill>
    </fill>
    <fill>
      <patternFill patternType="solid">
        <fgColor rgb="FF1F497D"/>
        <bgColor rgb="FF1F497D"/>
      </patternFill>
    </fill>
    <fill>
      <patternFill patternType="solid">
        <fgColor rgb="FFFFE599"/>
        <bgColor rgb="FFFFE599"/>
      </patternFill>
    </fill>
    <fill>
      <patternFill patternType="solid">
        <fgColor rgb="FFD6E3BC"/>
        <bgColor rgb="FFD6E3BC"/>
      </patternFill>
    </fill>
    <fill>
      <patternFill patternType="solid">
        <fgColor rgb="FFB8CCE4"/>
        <bgColor rgb="FFB8CCE4"/>
      </patternFill>
    </fill>
    <fill>
      <patternFill patternType="solid">
        <fgColor rgb="FF1C4587"/>
        <bgColor rgb="FF1C4587"/>
      </patternFill>
    </fill>
    <fill>
      <patternFill patternType="solid">
        <fgColor rgb="FF073763"/>
        <bgColor rgb="FF073763"/>
      </patternFill>
    </fill>
  </fills>
  <borders count="9">
    <border/>
    <border>
      <left/>
      <right/>
      <top/>
      <bottom/>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shrinkToFit="0" vertical="bottom" wrapText="0"/>
    </xf>
    <xf borderId="0" fillId="0" fontId="2" numFmtId="0" xfId="0" applyAlignment="1" applyFont="1">
      <alignment shrinkToFit="0" vertical="bottom" wrapText="0"/>
    </xf>
    <xf borderId="1" fillId="2" fontId="3" numFmtId="0" xfId="0" applyAlignment="1" applyBorder="1" applyFill="1" applyFont="1">
      <alignment shrinkToFit="0" vertical="bottom" wrapText="0"/>
    </xf>
    <xf borderId="0" fillId="0" fontId="2" numFmtId="0" xfId="0" applyAlignment="1" applyFont="1">
      <alignment shrinkToFit="0" vertical="top" wrapText="1"/>
    </xf>
    <xf borderId="2" fillId="3" fontId="4" numFmtId="0" xfId="0" applyAlignment="1" applyBorder="1" applyFill="1" applyFont="1">
      <alignment horizontal="center" shrinkToFit="0" vertical="center" wrapText="1"/>
    </xf>
    <xf borderId="1" fillId="2" fontId="5" numFmtId="0" xfId="0" applyAlignment="1" applyBorder="1" applyFill="1" applyFont="1">
      <alignment shrinkToFit="0" vertical="bottom" wrapText="0"/>
    </xf>
    <xf borderId="2" fillId="0" fontId="2" numFmtId="0" xfId="0" applyAlignment="1" applyBorder="1" applyFont="1">
      <alignment horizontal="center" shrinkToFit="0" vertical="top" wrapText="1"/>
    </xf>
    <xf borderId="2" fillId="0" fontId="2" numFmtId="0" xfId="0" applyAlignment="1" applyBorder="1" applyFont="1">
      <alignment horizontal="left" shrinkToFit="0" vertical="top" wrapText="1"/>
    </xf>
    <xf borderId="3" fillId="4" fontId="6" numFmtId="0" xfId="0" applyAlignment="1" applyBorder="1" applyFill="1" applyFont="1">
      <alignment shrinkToFit="0" vertical="bottom" wrapText="0"/>
    </xf>
    <xf borderId="3" fillId="2" fontId="2" numFmtId="0" xfId="0" applyAlignment="1" applyBorder="1" applyFill="1" applyFont="1">
      <alignment horizontal="left" shrinkToFit="0" vertical="top" wrapText="1"/>
    </xf>
    <xf borderId="2" fillId="0" fontId="7" numFmtId="0" xfId="0" applyAlignment="1" applyBorder="1" applyFont="1">
      <alignment horizontal="center" shrinkToFit="0" vertical="top" wrapText="1"/>
    </xf>
    <xf borderId="0" fillId="0" fontId="8" numFmtId="0" xfId="0" applyAlignment="1" applyFont="1">
      <alignment shrinkToFit="0" vertical="bottom" wrapText="0"/>
    </xf>
    <xf borderId="4" fillId="4" fontId="6" numFmtId="0" xfId="0" applyAlignment="1" applyBorder="1" applyFill="1" applyFont="1">
      <alignment horizontal="center" shrinkToFit="0" vertical="center" wrapText="1"/>
    </xf>
    <xf borderId="5" fillId="0" fontId="9" numFmtId="0" xfId="0" applyBorder="1" applyFont="1"/>
    <xf borderId="6" fillId="4" fontId="6" numFmtId="0" xfId="0" applyAlignment="1" applyBorder="1" applyFill="1" applyFont="1">
      <alignment horizontal="center" shrinkToFit="0" vertical="center" wrapText="1"/>
    </xf>
    <xf borderId="3" fillId="4" fontId="6" numFmtId="0" xfId="0" applyAlignment="1" applyBorder="1" applyFill="1" applyFont="1">
      <alignment horizontal="center" shrinkToFit="0" vertical="center" wrapText="1"/>
    </xf>
    <xf borderId="7" fillId="4" fontId="6" numFmtId="0" xfId="0" applyAlignment="1" applyBorder="1" applyFill="1" applyFont="1">
      <alignment horizontal="center" shrinkToFit="0" vertical="center" wrapText="1"/>
    </xf>
    <xf borderId="3" fillId="5" fontId="2" numFmtId="0" xfId="0" applyAlignment="1" applyBorder="1" applyFill="1" applyFont="1">
      <alignment horizontal="left" shrinkToFit="0" vertical="top" wrapText="1"/>
    </xf>
    <xf borderId="3" fillId="2" fontId="10" numFmtId="0" xfId="0" applyAlignment="1" applyBorder="1" applyFill="1" applyFont="1">
      <alignment horizontal="left" shrinkToFit="0" vertical="top" wrapText="1"/>
    </xf>
    <xf borderId="3" fillId="2" fontId="2" numFmtId="0" xfId="0" applyAlignment="1" applyBorder="1" applyFill="1" applyFont="1">
      <alignment horizontal="right" shrinkToFit="0" vertical="top" wrapText="0"/>
    </xf>
    <xf borderId="3" fillId="2" fontId="2" numFmtId="0" xfId="0" applyAlignment="1" applyBorder="1" applyFill="1" applyFont="1">
      <alignment horizontal="right" shrinkToFit="0" vertical="top" wrapText="1"/>
    </xf>
    <xf borderId="3" fillId="6" fontId="2" numFmtId="0" xfId="0" applyAlignment="1" applyBorder="1" applyFill="1" applyFont="1">
      <alignment horizontal="right" shrinkToFit="0" vertical="top" wrapText="1"/>
    </xf>
    <xf borderId="3" fillId="7" fontId="2" numFmtId="0" xfId="0" applyAlignment="1" applyBorder="1" applyFill="1" applyFont="1">
      <alignment horizontal="right" shrinkToFit="0" vertical="top" wrapText="1"/>
    </xf>
    <xf borderId="3" fillId="8" fontId="2" numFmtId="0" xfId="0" applyAlignment="1" applyBorder="1" applyFill="1" applyFont="1">
      <alignment horizontal="left" shrinkToFit="0" vertical="top" wrapText="1"/>
    </xf>
    <xf borderId="3" fillId="8" fontId="10" numFmtId="0" xfId="0" applyAlignment="1" applyBorder="1" applyFill="1" applyFont="1">
      <alignment horizontal="left" shrinkToFit="0" vertical="top" wrapText="1"/>
    </xf>
    <xf borderId="3" fillId="8" fontId="2" numFmtId="0" xfId="0" applyAlignment="1" applyBorder="1" applyFill="1" applyFont="1">
      <alignment horizontal="right" shrinkToFit="0" vertical="top" wrapText="1"/>
    </xf>
    <xf borderId="3" fillId="9" fontId="2" numFmtId="0" xfId="0" applyAlignment="1" applyBorder="1" applyFill="1" applyFont="1">
      <alignment horizontal="left" shrinkToFit="0" vertical="top" wrapText="1"/>
    </xf>
    <xf borderId="3" fillId="9" fontId="10" numFmtId="0" xfId="0" applyAlignment="1" applyBorder="1" applyFill="1" applyFont="1">
      <alignment horizontal="left" shrinkToFit="0" vertical="top" wrapText="1"/>
    </xf>
    <xf borderId="3" fillId="9" fontId="2" numFmtId="0" xfId="0" applyAlignment="1" applyBorder="1" applyFill="1" applyFont="1">
      <alignment horizontal="right" shrinkToFit="0" vertical="top" wrapText="1"/>
    </xf>
    <xf borderId="3" fillId="5" fontId="11" numFmtId="0" xfId="0" applyAlignment="1" applyBorder="1" applyFill="1" applyFont="1">
      <alignment horizontal="left" shrinkToFit="0" vertical="top" wrapText="0"/>
    </xf>
    <xf borderId="3" fillId="5" fontId="7" numFmtId="0" xfId="0" applyAlignment="1" applyBorder="1" applyFill="1" applyFont="1">
      <alignment horizontal="left" shrinkToFit="0" vertical="top" wrapText="1"/>
    </xf>
    <xf borderId="3" fillId="5" fontId="10" numFmtId="0" xfId="0" applyAlignment="1" applyBorder="1" applyFill="1" applyFont="1">
      <alignment horizontal="left" shrinkToFit="0" vertical="top" wrapText="1"/>
    </xf>
    <xf borderId="3" fillId="9" fontId="2" numFmtId="0" xfId="0" applyAlignment="1" applyBorder="1" applyFill="1" applyFont="1">
      <alignment shrinkToFit="0" vertical="bottom" wrapText="0"/>
    </xf>
    <xf borderId="1" fillId="9" fontId="2" numFmtId="0" xfId="0" applyAlignment="1" applyBorder="1" applyFill="1" applyFont="1">
      <alignment shrinkToFit="0" vertical="bottom" wrapText="0"/>
    </xf>
    <xf borderId="8" fillId="5" fontId="2" numFmtId="0" xfId="0" applyAlignment="1" applyBorder="1" applyFill="1" applyFont="1">
      <alignment horizontal="left" shrinkToFit="0" vertical="top" wrapText="1"/>
    </xf>
    <xf borderId="8" fillId="2" fontId="2" numFmtId="0" xfId="0" applyAlignment="1" applyBorder="1" applyFill="1" applyFont="1">
      <alignment horizontal="left" shrinkToFit="0" vertical="top" wrapText="1"/>
    </xf>
    <xf borderId="8" fillId="2" fontId="10" numFmtId="0" xfId="0" applyAlignment="1" applyBorder="1" applyFill="1" applyFont="1">
      <alignment horizontal="left" shrinkToFit="0" vertical="top" wrapText="1"/>
    </xf>
    <xf borderId="8" fillId="2" fontId="2" numFmtId="0" xfId="0" applyAlignment="1" applyBorder="1" applyFill="1" applyFont="1">
      <alignment horizontal="right" shrinkToFit="0" vertical="top" wrapText="1"/>
    </xf>
    <xf borderId="8" fillId="6" fontId="2" numFmtId="0" xfId="0" applyAlignment="1" applyBorder="1" applyFill="1" applyFont="1">
      <alignment horizontal="right" shrinkToFit="0" vertical="top" wrapText="1"/>
    </xf>
    <xf borderId="8" fillId="7" fontId="2" numFmtId="0" xfId="0" applyAlignment="1" applyBorder="1" applyFill="1" applyFont="1">
      <alignment horizontal="right" shrinkToFit="0" vertical="top" wrapText="1"/>
    </xf>
    <xf borderId="1" fillId="2" fontId="12" numFmtId="0" xfId="0" applyAlignment="1" applyBorder="1" applyFill="1" applyFont="1">
      <alignment horizontal="left" shrinkToFit="0" vertical="top" wrapText="1"/>
    </xf>
    <xf borderId="1" fillId="2" fontId="12" numFmtId="0" xfId="0" applyAlignment="1" applyBorder="1" applyFill="1" applyFont="1">
      <alignment horizontal="righ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34.14"/>
    <col customWidth="1" min="3" max="3" width="30.71"/>
    <col customWidth="1" min="4" max="4" width="21.43"/>
    <col customWidth="1" min="5" max="5" width="10.0"/>
    <col customWidth="1" min="6" max="6" width="10.43"/>
    <col customWidth="1" min="7" max="7" width="15.14"/>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ht="26.25" customHeight="1">
      <c r="A1" s="2"/>
      <c r="B1" s="4" t="s">
        <v>3</v>
      </c>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row>
    <row r="2" ht="26.25" customHeight="1">
      <c r="A2" s="2"/>
      <c r="B2" s="4" t="s">
        <v>12</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row>
    <row r="3" ht="19.5" customHeight="1">
      <c r="A3" s="2"/>
      <c r="B3" s="7" t="s">
        <v>5</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row>
    <row r="4" ht="15.0" customHeight="1">
      <c r="A4" s="2"/>
      <c r="B4" s="2"/>
      <c r="C4" s="2"/>
      <c r="D4" s="2"/>
      <c r="E4" s="2"/>
      <c r="F4" s="2"/>
      <c r="G4" s="2"/>
      <c r="H4" s="14" t="s">
        <v>31</v>
      </c>
      <c r="I4" s="15"/>
      <c r="J4" s="16"/>
      <c r="K4" s="14" t="s">
        <v>40</v>
      </c>
      <c r="L4" s="15"/>
      <c r="M4" s="16"/>
      <c r="N4" s="14" t="s">
        <v>41</v>
      </c>
      <c r="O4" s="15"/>
      <c r="P4" s="16"/>
      <c r="Q4" s="14" t="s">
        <v>42</v>
      </c>
      <c r="R4" s="15"/>
      <c r="S4" s="16"/>
      <c r="T4" s="14" t="s">
        <v>43</v>
      </c>
      <c r="U4" s="15"/>
      <c r="V4" s="16"/>
      <c r="W4" s="14" t="s">
        <v>44</v>
      </c>
      <c r="X4" s="15"/>
      <c r="Y4" s="16"/>
      <c r="Z4" s="14" t="s">
        <v>45</v>
      </c>
      <c r="AA4" s="15"/>
      <c r="AB4" s="16"/>
      <c r="AC4" s="14" t="s">
        <v>46</v>
      </c>
      <c r="AD4" s="15"/>
      <c r="AE4" s="16"/>
      <c r="AF4" s="14" t="s">
        <v>47</v>
      </c>
      <c r="AG4" s="15"/>
      <c r="AH4" s="16"/>
      <c r="AI4" s="14" t="s">
        <v>48</v>
      </c>
      <c r="AJ4" s="15"/>
      <c r="AK4" s="16"/>
      <c r="AL4" s="14" t="s">
        <v>49</v>
      </c>
      <c r="AM4" s="15"/>
      <c r="AN4" s="16"/>
      <c r="AO4" s="14" t="s">
        <v>50</v>
      </c>
      <c r="AP4" s="15"/>
      <c r="AQ4" s="16"/>
      <c r="AR4" s="14" t="s">
        <v>51</v>
      </c>
      <c r="AS4" s="15"/>
      <c r="AT4" s="16"/>
      <c r="AU4" s="14" t="s">
        <v>52</v>
      </c>
      <c r="AV4" s="15"/>
      <c r="AW4" s="16"/>
      <c r="AX4" s="14" t="s">
        <v>53</v>
      </c>
      <c r="AY4" s="15"/>
      <c r="AZ4" s="16"/>
      <c r="BA4" s="14" t="s">
        <v>54</v>
      </c>
      <c r="BB4" s="15"/>
      <c r="BC4" s="16"/>
      <c r="BD4" s="14" t="s">
        <v>55</v>
      </c>
      <c r="BE4" s="15"/>
      <c r="BF4" s="16"/>
      <c r="BG4" s="14" t="s">
        <v>56</v>
      </c>
      <c r="BH4" s="15"/>
      <c r="BI4" s="16"/>
      <c r="BJ4" s="14" t="s">
        <v>57</v>
      </c>
      <c r="BK4" s="15"/>
      <c r="BL4" s="16"/>
      <c r="BM4" s="14" t="s">
        <v>58</v>
      </c>
      <c r="BN4" s="15"/>
      <c r="BO4" s="16"/>
      <c r="BP4" s="14" t="s">
        <v>29</v>
      </c>
      <c r="BQ4" s="15"/>
    </row>
    <row r="5" ht="41.25" customHeight="1">
      <c r="A5" s="2"/>
      <c r="B5" s="17" t="s">
        <v>59</v>
      </c>
      <c r="C5" s="17" t="s">
        <v>60</v>
      </c>
      <c r="D5" s="17" t="s">
        <v>18</v>
      </c>
      <c r="E5" s="17" t="s">
        <v>21</v>
      </c>
      <c r="F5" s="17" t="s">
        <v>24</v>
      </c>
      <c r="G5" s="17" t="s">
        <v>27</v>
      </c>
      <c r="H5" s="18" t="s">
        <v>34</v>
      </c>
      <c r="I5" s="18" t="s">
        <v>37</v>
      </c>
      <c r="J5" s="18"/>
      <c r="K5" s="18" t="s">
        <v>34</v>
      </c>
      <c r="L5" s="18" t="s">
        <v>37</v>
      </c>
      <c r="M5" s="18"/>
      <c r="N5" s="18" t="s">
        <v>34</v>
      </c>
      <c r="O5" s="18" t="s">
        <v>37</v>
      </c>
      <c r="P5" s="18"/>
      <c r="Q5" s="18" t="s">
        <v>34</v>
      </c>
      <c r="R5" s="18" t="s">
        <v>37</v>
      </c>
      <c r="S5" s="18"/>
      <c r="T5" s="18" t="s">
        <v>34</v>
      </c>
      <c r="U5" s="18" t="s">
        <v>37</v>
      </c>
      <c r="V5" s="18"/>
      <c r="W5" s="18" t="s">
        <v>34</v>
      </c>
      <c r="X5" s="18" t="s">
        <v>37</v>
      </c>
      <c r="Y5" s="18"/>
      <c r="Z5" s="18" t="s">
        <v>34</v>
      </c>
      <c r="AA5" s="18" t="s">
        <v>37</v>
      </c>
      <c r="AB5" s="18"/>
      <c r="AC5" s="18" t="s">
        <v>34</v>
      </c>
      <c r="AD5" s="18" t="s">
        <v>37</v>
      </c>
      <c r="AE5" s="18"/>
      <c r="AF5" s="18" t="s">
        <v>34</v>
      </c>
      <c r="AG5" s="18" t="s">
        <v>37</v>
      </c>
      <c r="AH5" s="18"/>
      <c r="AI5" s="18" t="s">
        <v>34</v>
      </c>
      <c r="AJ5" s="18" t="s">
        <v>37</v>
      </c>
      <c r="AK5" s="18"/>
      <c r="AL5" s="18" t="s">
        <v>34</v>
      </c>
      <c r="AM5" s="18" t="s">
        <v>37</v>
      </c>
      <c r="AN5" s="18"/>
      <c r="AO5" s="18" t="s">
        <v>34</v>
      </c>
      <c r="AP5" s="18" t="s">
        <v>37</v>
      </c>
      <c r="AQ5" s="18"/>
      <c r="AR5" s="18" t="s">
        <v>34</v>
      </c>
      <c r="AS5" s="18" t="s">
        <v>37</v>
      </c>
      <c r="AT5" s="18"/>
      <c r="AU5" s="18" t="s">
        <v>34</v>
      </c>
      <c r="AV5" s="18" t="s">
        <v>37</v>
      </c>
      <c r="AW5" s="18"/>
      <c r="AX5" s="18" t="s">
        <v>34</v>
      </c>
      <c r="AY5" s="18" t="s">
        <v>37</v>
      </c>
      <c r="AZ5" s="18"/>
      <c r="BA5" s="18" t="s">
        <v>34</v>
      </c>
      <c r="BB5" s="18" t="s">
        <v>37</v>
      </c>
      <c r="BC5" s="18"/>
      <c r="BD5" s="18" t="s">
        <v>34</v>
      </c>
      <c r="BE5" s="18" t="s">
        <v>37</v>
      </c>
      <c r="BF5" s="18"/>
      <c r="BG5" s="18" t="s">
        <v>34</v>
      </c>
      <c r="BH5" s="18" t="s">
        <v>37</v>
      </c>
      <c r="BI5" s="18"/>
      <c r="BJ5" s="18" t="s">
        <v>34</v>
      </c>
      <c r="BK5" s="18" t="s">
        <v>37</v>
      </c>
      <c r="BL5" s="18"/>
      <c r="BM5" s="18" t="s">
        <v>34</v>
      </c>
      <c r="BN5" s="18" t="s">
        <v>37</v>
      </c>
      <c r="BO5" s="18"/>
      <c r="BP5" s="18" t="s">
        <v>34</v>
      </c>
      <c r="BQ5" s="18" t="s">
        <v>37</v>
      </c>
    </row>
    <row r="6">
      <c r="A6" s="2"/>
      <c r="B6" s="19" t="s">
        <v>61</v>
      </c>
      <c r="C6" s="20" t="s">
        <v>62</v>
      </c>
      <c r="D6" s="20" t="s">
        <v>63</v>
      </c>
      <c r="E6" s="11" t="s">
        <v>64</v>
      </c>
      <c r="F6" s="11" t="s">
        <v>65</v>
      </c>
      <c r="G6" s="11">
        <v>12.0</v>
      </c>
      <c r="H6" s="21">
        <v>2.0</v>
      </c>
      <c r="I6" s="22">
        <f t="shared" ref="I6:I8" si="1">G6-H6</f>
        <v>10</v>
      </c>
      <c r="J6" s="23"/>
      <c r="K6" s="21">
        <v>2.0</v>
      </c>
      <c r="L6" s="22">
        <f t="shared" ref="L6:L8" si="2">I6-K6</f>
        <v>8</v>
      </c>
      <c r="M6" s="23"/>
      <c r="N6" s="21">
        <v>4.0</v>
      </c>
      <c r="O6" s="22">
        <f t="shared" ref="O6:O8" si="3">L6-N6</f>
        <v>4</v>
      </c>
      <c r="P6" s="23"/>
      <c r="Q6" s="21">
        <v>2.0</v>
      </c>
      <c r="R6" s="22">
        <f t="shared" ref="R6:R8" si="4">O6-Q6</f>
        <v>2</v>
      </c>
      <c r="S6" s="23"/>
      <c r="T6" s="21">
        <v>2.0</v>
      </c>
      <c r="U6" s="22">
        <f t="shared" ref="U6:U8" si="5">R6-T6</f>
        <v>0</v>
      </c>
      <c r="V6" s="23"/>
      <c r="W6" s="22"/>
      <c r="X6" s="22">
        <f t="shared" ref="X6:X8" si="6">U6-W6</f>
        <v>0</v>
      </c>
      <c r="Y6" s="23"/>
      <c r="Z6" s="22"/>
      <c r="AA6" s="22">
        <f t="shared" ref="AA6:AA8" si="7">X6-Z6</f>
        <v>0</v>
      </c>
      <c r="AB6" s="23"/>
      <c r="AC6" s="22"/>
      <c r="AD6" s="22">
        <f t="shared" ref="AD6:AD8" si="8">AA6-AC6</f>
        <v>0</v>
      </c>
      <c r="AE6" s="23"/>
      <c r="AF6" s="22"/>
      <c r="AG6" s="22">
        <f t="shared" ref="AG6:AG8" si="9">AD6-AF6</f>
        <v>0</v>
      </c>
      <c r="AH6" s="23"/>
      <c r="AI6" s="22"/>
      <c r="AJ6" s="22">
        <f t="shared" ref="AJ6:AJ8" si="10">AG6-AI6</f>
        <v>0</v>
      </c>
      <c r="AK6" s="23"/>
      <c r="AL6" s="22"/>
      <c r="AM6" s="22">
        <f t="shared" ref="AM6:AM8" si="11">AJ6-AL6</f>
        <v>0</v>
      </c>
      <c r="AN6" s="23"/>
      <c r="AO6" s="22"/>
      <c r="AP6" s="22">
        <f t="shared" ref="AP6:AP8" si="12">AM6-AO6</f>
        <v>0</v>
      </c>
      <c r="AQ6" s="23"/>
      <c r="AR6" s="22"/>
      <c r="AS6" s="22">
        <f t="shared" ref="AS6:AS8" si="13">AP6-AR6</f>
        <v>0</v>
      </c>
      <c r="AT6" s="23"/>
      <c r="AU6" s="22"/>
      <c r="AV6" s="22">
        <f t="shared" ref="AV6:AV8" si="14">AS6-AU6</f>
        <v>0</v>
      </c>
      <c r="AW6" s="23"/>
      <c r="AX6" s="22"/>
      <c r="AY6" s="22">
        <f t="shared" ref="AY6:AY8" si="15">AV6-AX6</f>
        <v>0</v>
      </c>
      <c r="AZ6" s="23"/>
      <c r="BA6" s="22"/>
      <c r="BB6" s="22">
        <f t="shared" ref="BB6:BB8" si="16">AY6-BA6</f>
        <v>0</v>
      </c>
      <c r="BC6" s="23"/>
      <c r="BD6" s="22"/>
      <c r="BE6" s="22">
        <f t="shared" ref="BE6:BE8" si="17">BB6-BD6</f>
        <v>0</v>
      </c>
      <c r="BF6" s="23"/>
      <c r="BG6" s="22"/>
      <c r="BH6" s="22">
        <f t="shared" ref="BH6:BH8" si="18">BE6-BG6</f>
        <v>0</v>
      </c>
      <c r="BI6" s="23"/>
      <c r="BJ6" s="22"/>
      <c r="BK6" s="22">
        <f t="shared" ref="BK6:BK8" si="19">BH6-BJ6</f>
        <v>0</v>
      </c>
      <c r="BL6" s="23"/>
      <c r="BM6" s="22"/>
      <c r="BN6" s="22">
        <f t="shared" ref="BN6:BN8" si="20">BK6-BM6</f>
        <v>0</v>
      </c>
      <c r="BO6" s="23"/>
      <c r="BP6" s="24">
        <f t="shared" ref="BP6:BP8" si="21">H6+K6+N6+Q6+T6+W6+Z6+AC6+AF6+AI6+AL6+AO6+AR6+AU6+AX6+BA6+BD6+BG6+BJ6+BM6</f>
        <v>12</v>
      </c>
      <c r="BQ6" s="24">
        <f t="shared" ref="BQ6:BQ8" si="22">G6-BP6</f>
        <v>0</v>
      </c>
    </row>
    <row r="7">
      <c r="A7" s="2"/>
      <c r="B7" s="19"/>
      <c r="C7" s="11"/>
      <c r="D7" s="20" t="s">
        <v>66</v>
      </c>
      <c r="E7" s="11" t="s">
        <v>64</v>
      </c>
      <c r="F7" s="11" t="s">
        <v>65</v>
      </c>
      <c r="G7" s="11">
        <v>10.0</v>
      </c>
      <c r="H7" s="22"/>
      <c r="I7" s="22">
        <f t="shared" si="1"/>
        <v>10</v>
      </c>
      <c r="J7" s="23"/>
      <c r="K7" s="22"/>
      <c r="L7" s="22">
        <f t="shared" si="2"/>
        <v>10</v>
      </c>
      <c r="M7" s="23"/>
      <c r="N7" s="22"/>
      <c r="O7" s="22">
        <f t="shared" si="3"/>
        <v>10</v>
      </c>
      <c r="P7" s="23"/>
      <c r="Q7" s="22"/>
      <c r="R7" s="22">
        <f t="shared" si="4"/>
        <v>10</v>
      </c>
      <c r="S7" s="23"/>
      <c r="T7" s="21">
        <v>2.0</v>
      </c>
      <c r="U7" s="22">
        <f t="shared" si="5"/>
        <v>8</v>
      </c>
      <c r="V7" s="23"/>
      <c r="W7" s="21">
        <v>2.0</v>
      </c>
      <c r="X7" s="22">
        <f t="shared" si="6"/>
        <v>6</v>
      </c>
      <c r="Y7" s="23"/>
      <c r="Z7" s="21">
        <v>2.0</v>
      </c>
      <c r="AA7" s="22">
        <f t="shared" si="7"/>
        <v>4</v>
      </c>
      <c r="AB7" s="23"/>
      <c r="AC7" s="21">
        <v>4.0</v>
      </c>
      <c r="AD7" s="22">
        <f t="shared" si="8"/>
        <v>0</v>
      </c>
      <c r="AE7" s="23"/>
      <c r="AF7" s="22"/>
      <c r="AG7" s="22">
        <f t="shared" si="9"/>
        <v>0</v>
      </c>
      <c r="AH7" s="23"/>
      <c r="AI7" s="22"/>
      <c r="AJ7" s="22">
        <f t="shared" si="10"/>
        <v>0</v>
      </c>
      <c r="AK7" s="23"/>
      <c r="AL7" s="22"/>
      <c r="AM7" s="22">
        <f t="shared" si="11"/>
        <v>0</v>
      </c>
      <c r="AN7" s="23"/>
      <c r="AO7" s="22"/>
      <c r="AP7" s="22">
        <f t="shared" si="12"/>
        <v>0</v>
      </c>
      <c r="AQ7" s="23"/>
      <c r="AR7" s="22"/>
      <c r="AS7" s="22">
        <f t="shared" si="13"/>
        <v>0</v>
      </c>
      <c r="AT7" s="23"/>
      <c r="AU7" s="22"/>
      <c r="AV7" s="22">
        <f t="shared" si="14"/>
        <v>0</v>
      </c>
      <c r="AW7" s="23"/>
      <c r="AX7" s="22"/>
      <c r="AY7" s="22">
        <f t="shared" si="15"/>
        <v>0</v>
      </c>
      <c r="AZ7" s="23"/>
      <c r="BA7" s="22"/>
      <c r="BB7" s="22">
        <f t="shared" si="16"/>
        <v>0</v>
      </c>
      <c r="BC7" s="23"/>
      <c r="BD7" s="22"/>
      <c r="BE7" s="22">
        <f t="shared" si="17"/>
        <v>0</v>
      </c>
      <c r="BF7" s="23"/>
      <c r="BG7" s="22"/>
      <c r="BH7" s="22">
        <f t="shared" si="18"/>
        <v>0</v>
      </c>
      <c r="BI7" s="23"/>
      <c r="BJ7" s="22"/>
      <c r="BK7" s="22">
        <f t="shared" si="19"/>
        <v>0</v>
      </c>
      <c r="BL7" s="23"/>
      <c r="BM7" s="22"/>
      <c r="BN7" s="22">
        <f t="shared" si="20"/>
        <v>0</v>
      </c>
      <c r="BO7" s="23"/>
      <c r="BP7" s="24">
        <f t="shared" si="21"/>
        <v>10</v>
      </c>
      <c r="BQ7" s="24">
        <f t="shared" si="22"/>
        <v>0</v>
      </c>
    </row>
    <row r="8" ht="41.25" customHeight="1">
      <c r="A8" s="2"/>
      <c r="B8" s="19"/>
      <c r="C8" s="11"/>
      <c r="D8" s="20" t="s">
        <v>67</v>
      </c>
      <c r="E8" s="11" t="s">
        <v>64</v>
      </c>
      <c r="F8" s="11" t="s">
        <v>65</v>
      </c>
      <c r="G8" s="11">
        <v>6.0</v>
      </c>
      <c r="H8" s="22"/>
      <c r="I8" s="22">
        <f t="shared" si="1"/>
        <v>6</v>
      </c>
      <c r="J8" s="23"/>
      <c r="K8" s="22"/>
      <c r="L8" s="22">
        <f t="shared" si="2"/>
        <v>6</v>
      </c>
      <c r="M8" s="23"/>
      <c r="N8" s="22"/>
      <c r="O8" s="22">
        <f t="shared" si="3"/>
        <v>6</v>
      </c>
      <c r="P8" s="23"/>
      <c r="Q8" s="22"/>
      <c r="R8" s="22">
        <f t="shared" si="4"/>
        <v>6</v>
      </c>
      <c r="S8" s="23"/>
      <c r="T8" s="22"/>
      <c r="U8" s="22">
        <f t="shared" si="5"/>
        <v>6</v>
      </c>
      <c r="V8" s="23"/>
      <c r="W8" s="22"/>
      <c r="X8" s="22">
        <f t="shared" si="6"/>
        <v>6</v>
      </c>
      <c r="Y8" s="23"/>
      <c r="Z8" s="22"/>
      <c r="AA8" s="22">
        <f t="shared" si="7"/>
        <v>6</v>
      </c>
      <c r="AB8" s="23"/>
      <c r="AC8" s="22"/>
      <c r="AD8" s="22">
        <f t="shared" si="8"/>
        <v>6</v>
      </c>
      <c r="AE8" s="23"/>
      <c r="AF8" s="21">
        <v>2.0</v>
      </c>
      <c r="AG8" s="22">
        <f t="shared" si="9"/>
        <v>4</v>
      </c>
      <c r="AH8" s="23"/>
      <c r="AI8" s="21">
        <v>4.0</v>
      </c>
      <c r="AJ8" s="22">
        <f t="shared" si="10"/>
        <v>0</v>
      </c>
      <c r="AK8" s="23"/>
      <c r="AL8" s="22"/>
      <c r="AM8" s="22">
        <f t="shared" si="11"/>
        <v>0</v>
      </c>
      <c r="AN8" s="23"/>
      <c r="AO8" s="22"/>
      <c r="AP8" s="22">
        <f t="shared" si="12"/>
        <v>0</v>
      </c>
      <c r="AQ8" s="23"/>
      <c r="AR8" s="22"/>
      <c r="AS8" s="22">
        <f t="shared" si="13"/>
        <v>0</v>
      </c>
      <c r="AT8" s="23"/>
      <c r="AU8" s="22"/>
      <c r="AV8" s="22">
        <f t="shared" si="14"/>
        <v>0</v>
      </c>
      <c r="AW8" s="23"/>
      <c r="AX8" s="22"/>
      <c r="AY8" s="22">
        <f t="shared" si="15"/>
        <v>0</v>
      </c>
      <c r="AZ8" s="23"/>
      <c r="BA8" s="22"/>
      <c r="BB8" s="22">
        <f t="shared" si="16"/>
        <v>0</v>
      </c>
      <c r="BC8" s="23"/>
      <c r="BD8" s="22"/>
      <c r="BE8" s="22">
        <f t="shared" si="17"/>
        <v>0</v>
      </c>
      <c r="BF8" s="23"/>
      <c r="BG8" s="22"/>
      <c r="BH8" s="22">
        <f t="shared" si="18"/>
        <v>0</v>
      </c>
      <c r="BI8" s="23"/>
      <c r="BJ8" s="22"/>
      <c r="BK8" s="22">
        <f t="shared" si="19"/>
        <v>0</v>
      </c>
      <c r="BL8" s="23"/>
      <c r="BM8" s="22"/>
      <c r="BN8" s="22">
        <f t="shared" si="20"/>
        <v>0</v>
      </c>
      <c r="BO8" s="23"/>
      <c r="BP8" s="24">
        <f t="shared" si="21"/>
        <v>6</v>
      </c>
      <c r="BQ8" s="24">
        <f t="shared" si="22"/>
        <v>0</v>
      </c>
    </row>
    <row r="9" ht="15.0" customHeight="1">
      <c r="A9" s="2"/>
      <c r="B9" s="25"/>
      <c r="C9" s="26"/>
      <c r="D9" s="26"/>
      <c r="E9" s="25"/>
      <c r="F9" s="25"/>
      <c r="G9" s="25"/>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row>
    <row r="10">
      <c r="A10" s="2"/>
      <c r="B10" s="19" t="s">
        <v>68</v>
      </c>
      <c r="C10" s="20" t="s">
        <v>62</v>
      </c>
      <c r="D10" s="20" t="s">
        <v>69</v>
      </c>
      <c r="E10" s="11" t="s">
        <v>64</v>
      </c>
      <c r="F10" s="11" t="s">
        <v>65</v>
      </c>
      <c r="G10" s="11">
        <v>12.0</v>
      </c>
      <c r="H10" s="21">
        <v>2.0</v>
      </c>
      <c r="I10" s="22">
        <f t="shared" ref="I10:I13" si="23">G10-H10</f>
        <v>10</v>
      </c>
      <c r="J10" s="23"/>
      <c r="K10" s="21">
        <v>3.0</v>
      </c>
      <c r="L10" s="22">
        <f t="shared" ref="L10:L13" si="24">I10-K10</f>
        <v>7</v>
      </c>
      <c r="M10" s="23"/>
      <c r="N10" s="21">
        <v>3.0</v>
      </c>
      <c r="O10" s="22">
        <f t="shared" ref="O10:O13" si="25">L10-N10</f>
        <v>4</v>
      </c>
      <c r="P10" s="23"/>
      <c r="Q10" s="21">
        <v>3.0</v>
      </c>
      <c r="R10" s="22">
        <f t="shared" ref="R10:R13" si="26">O10-Q10</f>
        <v>1</v>
      </c>
      <c r="S10" s="23"/>
      <c r="T10" s="21">
        <v>1.0</v>
      </c>
      <c r="U10" s="22">
        <f t="shared" ref="U10:U13" si="27">R10-T10</f>
        <v>0</v>
      </c>
      <c r="V10" s="23"/>
      <c r="W10" s="22"/>
      <c r="X10" s="22">
        <f t="shared" ref="X10:X13" si="28">U10-W10</f>
        <v>0</v>
      </c>
      <c r="Y10" s="23"/>
      <c r="Z10" s="22"/>
      <c r="AA10" s="22">
        <f t="shared" ref="AA10:AA13" si="29">X10-Z10</f>
        <v>0</v>
      </c>
      <c r="AB10" s="23"/>
      <c r="AC10" s="22"/>
      <c r="AD10" s="22">
        <f t="shared" ref="AD10:AD13" si="30">AA10-AC10</f>
        <v>0</v>
      </c>
      <c r="AE10" s="23"/>
      <c r="AF10" s="22"/>
      <c r="AG10" s="22">
        <f t="shared" ref="AG10:AG13" si="31">AD10-AF10</f>
        <v>0</v>
      </c>
      <c r="AH10" s="23"/>
      <c r="AI10" s="22"/>
      <c r="AJ10" s="22">
        <f t="shared" ref="AJ10:AJ13" si="32">AG10-AI10</f>
        <v>0</v>
      </c>
      <c r="AK10" s="23"/>
      <c r="AL10" s="22"/>
      <c r="AM10" s="22">
        <f t="shared" ref="AM10:AM13" si="33">AJ10-AL10</f>
        <v>0</v>
      </c>
      <c r="AN10" s="23"/>
      <c r="AO10" s="22"/>
      <c r="AP10" s="22">
        <f t="shared" ref="AP10:AP13" si="34">AM10-AO10</f>
        <v>0</v>
      </c>
      <c r="AQ10" s="23"/>
      <c r="AR10" s="22"/>
      <c r="AS10" s="22">
        <f t="shared" ref="AS10:AS13" si="35">AP10-AR10</f>
        <v>0</v>
      </c>
      <c r="AT10" s="23"/>
      <c r="AU10" s="22"/>
      <c r="AV10" s="22">
        <f t="shared" ref="AV10:AV13" si="36">AS10-AU10</f>
        <v>0</v>
      </c>
      <c r="AW10" s="23"/>
      <c r="AX10" s="22"/>
      <c r="AY10" s="22">
        <f t="shared" ref="AY10:AY13" si="37">AV10-AX10</f>
        <v>0</v>
      </c>
      <c r="AZ10" s="23"/>
      <c r="BA10" s="22"/>
      <c r="BB10" s="22">
        <f t="shared" ref="BB10:BB13" si="38">AY10-BA10</f>
        <v>0</v>
      </c>
      <c r="BC10" s="23"/>
      <c r="BD10" s="22"/>
      <c r="BE10" s="22">
        <f t="shared" ref="BE10:BE13" si="39">BB10-BD10</f>
        <v>0</v>
      </c>
      <c r="BF10" s="23"/>
      <c r="BG10" s="22"/>
      <c r="BH10" s="22">
        <f t="shared" ref="BH10:BH13" si="40">BE10-BG10</f>
        <v>0</v>
      </c>
      <c r="BI10" s="23"/>
      <c r="BJ10" s="22"/>
      <c r="BK10" s="22">
        <f t="shared" ref="BK10:BK13" si="41">BH10-BJ10</f>
        <v>0</v>
      </c>
      <c r="BL10" s="23"/>
      <c r="BM10" s="22"/>
      <c r="BN10" s="22">
        <f t="shared" ref="BN10:BN13" si="42">BK10-BM10</f>
        <v>0</v>
      </c>
      <c r="BO10" s="23"/>
      <c r="BP10" s="24">
        <f t="shared" ref="BP10:BP13" si="43">H10+K10+N10+Q10+T10+W10+Z10+AC10+AF10+AI10+AL10+AO10+AR10+AU10+AX10+BA10+BD10+BG10+BJ10+BM10</f>
        <v>12</v>
      </c>
      <c r="BQ10" s="24">
        <f t="shared" ref="BQ10:BQ13" si="44">G10-BP10</f>
        <v>0</v>
      </c>
    </row>
    <row r="11">
      <c r="A11" s="2"/>
      <c r="B11" s="19"/>
      <c r="C11" s="11"/>
      <c r="D11" s="20" t="s">
        <v>70</v>
      </c>
      <c r="E11" s="11" t="s">
        <v>64</v>
      </c>
      <c r="F11" s="11" t="s">
        <v>65</v>
      </c>
      <c r="G11" s="11">
        <v>6.0</v>
      </c>
      <c r="H11" s="22"/>
      <c r="I11" s="22">
        <f t="shared" si="23"/>
        <v>6</v>
      </c>
      <c r="J11" s="23"/>
      <c r="K11" s="22"/>
      <c r="L11" s="22">
        <f t="shared" si="24"/>
        <v>6</v>
      </c>
      <c r="M11" s="23"/>
      <c r="N11" s="22"/>
      <c r="O11" s="22">
        <f t="shared" si="25"/>
        <v>6</v>
      </c>
      <c r="P11" s="23"/>
      <c r="Q11" s="22"/>
      <c r="R11" s="22">
        <f t="shared" si="26"/>
        <v>6</v>
      </c>
      <c r="S11" s="23"/>
      <c r="T11" s="21">
        <v>3.0</v>
      </c>
      <c r="U11" s="22">
        <f t="shared" si="27"/>
        <v>3</v>
      </c>
      <c r="V11" s="23"/>
      <c r="W11" s="21">
        <v>2.0</v>
      </c>
      <c r="X11" s="22">
        <f t="shared" si="28"/>
        <v>1</v>
      </c>
      <c r="Y11" s="23"/>
      <c r="Z11" s="21">
        <v>1.0</v>
      </c>
      <c r="AA11" s="22">
        <f t="shared" si="29"/>
        <v>0</v>
      </c>
      <c r="AB11" s="23"/>
      <c r="AC11" s="22"/>
      <c r="AD11" s="22">
        <f t="shared" si="30"/>
        <v>0</v>
      </c>
      <c r="AE11" s="23"/>
      <c r="AF11" s="22"/>
      <c r="AG11" s="22">
        <f t="shared" si="31"/>
        <v>0</v>
      </c>
      <c r="AH11" s="23"/>
      <c r="AI11" s="22"/>
      <c r="AJ11" s="22">
        <f t="shared" si="32"/>
        <v>0</v>
      </c>
      <c r="AK11" s="23"/>
      <c r="AL11" s="22"/>
      <c r="AM11" s="22">
        <f t="shared" si="33"/>
        <v>0</v>
      </c>
      <c r="AN11" s="23"/>
      <c r="AO11" s="22"/>
      <c r="AP11" s="22">
        <f t="shared" si="34"/>
        <v>0</v>
      </c>
      <c r="AQ11" s="23"/>
      <c r="AR11" s="22"/>
      <c r="AS11" s="22">
        <f t="shared" si="35"/>
        <v>0</v>
      </c>
      <c r="AT11" s="23"/>
      <c r="AU11" s="22"/>
      <c r="AV11" s="22">
        <f t="shared" si="36"/>
        <v>0</v>
      </c>
      <c r="AW11" s="23"/>
      <c r="AX11" s="22"/>
      <c r="AY11" s="22">
        <f t="shared" si="37"/>
        <v>0</v>
      </c>
      <c r="AZ11" s="23"/>
      <c r="BA11" s="22"/>
      <c r="BB11" s="22">
        <f t="shared" si="38"/>
        <v>0</v>
      </c>
      <c r="BC11" s="23"/>
      <c r="BD11" s="22"/>
      <c r="BE11" s="22">
        <f t="shared" si="39"/>
        <v>0</v>
      </c>
      <c r="BF11" s="23"/>
      <c r="BG11" s="22"/>
      <c r="BH11" s="22">
        <f t="shared" si="40"/>
        <v>0</v>
      </c>
      <c r="BI11" s="23"/>
      <c r="BJ11" s="22"/>
      <c r="BK11" s="22">
        <f t="shared" si="41"/>
        <v>0</v>
      </c>
      <c r="BL11" s="23"/>
      <c r="BM11" s="22"/>
      <c r="BN11" s="22">
        <f t="shared" si="42"/>
        <v>0</v>
      </c>
      <c r="BO11" s="23"/>
      <c r="BP11" s="24">
        <f t="shared" si="43"/>
        <v>6</v>
      </c>
      <c r="BQ11" s="24">
        <f t="shared" si="44"/>
        <v>0</v>
      </c>
    </row>
    <row r="12" ht="41.25" customHeight="1">
      <c r="A12" s="2"/>
      <c r="B12" s="19"/>
      <c r="C12" s="11"/>
      <c r="D12" s="20" t="s">
        <v>71</v>
      </c>
      <c r="E12" s="11" t="s">
        <v>64</v>
      </c>
      <c r="F12" s="11" t="s">
        <v>65</v>
      </c>
      <c r="G12" s="11">
        <v>10.0</v>
      </c>
      <c r="H12" s="22"/>
      <c r="I12" s="22">
        <f t="shared" si="23"/>
        <v>10</v>
      </c>
      <c r="J12" s="23"/>
      <c r="K12" s="22"/>
      <c r="L12" s="22">
        <f t="shared" si="24"/>
        <v>10</v>
      </c>
      <c r="M12" s="23"/>
      <c r="N12" s="22"/>
      <c r="O12" s="22">
        <f t="shared" si="25"/>
        <v>10</v>
      </c>
      <c r="P12" s="23"/>
      <c r="Q12" s="22"/>
      <c r="R12" s="22">
        <f t="shared" si="26"/>
        <v>10</v>
      </c>
      <c r="S12" s="23"/>
      <c r="T12" s="22"/>
      <c r="U12" s="22">
        <f t="shared" si="27"/>
        <v>10</v>
      </c>
      <c r="V12" s="23"/>
      <c r="W12" s="22"/>
      <c r="X12" s="22">
        <f t="shared" si="28"/>
        <v>10</v>
      </c>
      <c r="Y12" s="23"/>
      <c r="Z12" s="21">
        <v>2.0</v>
      </c>
      <c r="AA12" s="22">
        <f t="shared" si="29"/>
        <v>8</v>
      </c>
      <c r="AB12" s="23"/>
      <c r="AC12" s="21">
        <v>3.0</v>
      </c>
      <c r="AD12" s="22">
        <f t="shared" si="30"/>
        <v>5</v>
      </c>
      <c r="AE12" s="23"/>
      <c r="AF12" s="21">
        <v>3.0</v>
      </c>
      <c r="AG12" s="22">
        <f t="shared" si="31"/>
        <v>2</v>
      </c>
      <c r="AH12" s="23"/>
      <c r="AI12" s="21">
        <v>2.0</v>
      </c>
      <c r="AJ12" s="22">
        <f t="shared" si="32"/>
        <v>0</v>
      </c>
      <c r="AK12" s="23"/>
      <c r="AL12" s="22"/>
      <c r="AM12" s="22">
        <f t="shared" si="33"/>
        <v>0</v>
      </c>
      <c r="AN12" s="23"/>
      <c r="AO12" s="22"/>
      <c r="AP12" s="22">
        <f t="shared" si="34"/>
        <v>0</v>
      </c>
      <c r="AQ12" s="23"/>
      <c r="AR12" s="22"/>
      <c r="AS12" s="22">
        <f t="shared" si="35"/>
        <v>0</v>
      </c>
      <c r="AT12" s="23"/>
      <c r="AU12" s="22"/>
      <c r="AV12" s="22">
        <f t="shared" si="36"/>
        <v>0</v>
      </c>
      <c r="AW12" s="23"/>
      <c r="AX12" s="22"/>
      <c r="AY12" s="22">
        <f t="shared" si="37"/>
        <v>0</v>
      </c>
      <c r="AZ12" s="23"/>
      <c r="BA12" s="22"/>
      <c r="BB12" s="22">
        <f t="shared" si="38"/>
        <v>0</v>
      </c>
      <c r="BC12" s="23"/>
      <c r="BD12" s="22"/>
      <c r="BE12" s="22">
        <f t="shared" si="39"/>
        <v>0</v>
      </c>
      <c r="BF12" s="23"/>
      <c r="BG12" s="22"/>
      <c r="BH12" s="22">
        <f t="shared" si="40"/>
        <v>0</v>
      </c>
      <c r="BI12" s="23"/>
      <c r="BJ12" s="22"/>
      <c r="BK12" s="22">
        <f t="shared" si="41"/>
        <v>0</v>
      </c>
      <c r="BL12" s="23"/>
      <c r="BM12" s="22"/>
      <c r="BN12" s="22">
        <f t="shared" si="42"/>
        <v>0</v>
      </c>
      <c r="BO12" s="23"/>
      <c r="BP12" s="24">
        <f t="shared" si="43"/>
        <v>10</v>
      </c>
      <c r="BQ12" s="24">
        <f t="shared" si="44"/>
        <v>0</v>
      </c>
    </row>
    <row r="13" ht="27.75" customHeight="1">
      <c r="A13" s="2"/>
      <c r="B13" s="19"/>
      <c r="C13" s="11"/>
      <c r="D13" s="20" t="s">
        <v>72</v>
      </c>
      <c r="E13" s="11" t="s">
        <v>73</v>
      </c>
      <c r="F13" s="11" t="s">
        <v>65</v>
      </c>
      <c r="G13" s="11">
        <v>2.0</v>
      </c>
      <c r="H13" s="22"/>
      <c r="I13" s="22">
        <f t="shared" si="23"/>
        <v>2</v>
      </c>
      <c r="J13" s="23"/>
      <c r="K13" s="22"/>
      <c r="L13" s="22">
        <f t="shared" si="24"/>
        <v>2</v>
      </c>
      <c r="M13" s="23"/>
      <c r="N13" s="22"/>
      <c r="O13" s="22">
        <f t="shared" si="25"/>
        <v>2</v>
      </c>
      <c r="P13" s="23"/>
      <c r="Q13" s="22"/>
      <c r="R13" s="22">
        <f t="shared" si="26"/>
        <v>2</v>
      </c>
      <c r="S13" s="23"/>
      <c r="T13" s="22"/>
      <c r="U13" s="22">
        <f t="shared" si="27"/>
        <v>2</v>
      </c>
      <c r="V13" s="23"/>
      <c r="W13" s="22"/>
      <c r="X13" s="22">
        <f t="shared" si="28"/>
        <v>2</v>
      </c>
      <c r="Y13" s="23"/>
      <c r="Z13" s="22"/>
      <c r="AA13" s="22">
        <f t="shared" si="29"/>
        <v>2</v>
      </c>
      <c r="AB13" s="23"/>
      <c r="AC13" s="22"/>
      <c r="AD13" s="22">
        <f t="shared" si="30"/>
        <v>2</v>
      </c>
      <c r="AE13" s="23"/>
      <c r="AF13" s="22"/>
      <c r="AG13" s="22">
        <f t="shared" si="31"/>
        <v>2</v>
      </c>
      <c r="AH13" s="23"/>
      <c r="AI13" s="21">
        <v>2.0</v>
      </c>
      <c r="AJ13" s="22">
        <f t="shared" si="32"/>
        <v>0</v>
      </c>
      <c r="AK13" s="23"/>
      <c r="AL13" s="22"/>
      <c r="AM13" s="22">
        <f t="shared" si="33"/>
        <v>0</v>
      </c>
      <c r="AN13" s="23"/>
      <c r="AO13" s="22"/>
      <c r="AP13" s="22">
        <f t="shared" si="34"/>
        <v>0</v>
      </c>
      <c r="AQ13" s="23"/>
      <c r="AR13" s="22"/>
      <c r="AS13" s="22">
        <f t="shared" si="35"/>
        <v>0</v>
      </c>
      <c r="AT13" s="23"/>
      <c r="AU13" s="22"/>
      <c r="AV13" s="22">
        <f t="shared" si="36"/>
        <v>0</v>
      </c>
      <c r="AW13" s="23"/>
      <c r="AX13" s="22"/>
      <c r="AY13" s="22">
        <f t="shared" si="37"/>
        <v>0</v>
      </c>
      <c r="AZ13" s="23"/>
      <c r="BA13" s="22"/>
      <c r="BB13" s="22">
        <f t="shared" si="38"/>
        <v>0</v>
      </c>
      <c r="BC13" s="23"/>
      <c r="BD13" s="22"/>
      <c r="BE13" s="22">
        <f t="shared" si="39"/>
        <v>0</v>
      </c>
      <c r="BF13" s="23"/>
      <c r="BG13" s="22"/>
      <c r="BH13" s="22">
        <f t="shared" si="40"/>
        <v>0</v>
      </c>
      <c r="BI13" s="23"/>
      <c r="BJ13" s="22"/>
      <c r="BK13" s="22">
        <f t="shared" si="41"/>
        <v>0</v>
      </c>
      <c r="BL13" s="23"/>
      <c r="BM13" s="22"/>
      <c r="BN13" s="22">
        <f t="shared" si="42"/>
        <v>0</v>
      </c>
      <c r="BO13" s="23"/>
      <c r="BP13" s="24">
        <f t="shared" si="43"/>
        <v>2</v>
      </c>
      <c r="BQ13" s="24">
        <f t="shared" si="44"/>
        <v>0</v>
      </c>
    </row>
    <row r="14" ht="15.0" customHeight="1">
      <c r="A14" s="2"/>
      <c r="B14" s="28"/>
      <c r="C14" s="29"/>
      <c r="D14" s="29"/>
      <c r="E14" s="28"/>
      <c r="F14" s="28"/>
      <c r="G14" s="28"/>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c r="BQ14" s="30"/>
    </row>
    <row r="15">
      <c r="A15" s="2"/>
      <c r="B15" s="19" t="s">
        <v>74</v>
      </c>
      <c r="C15" s="20" t="s">
        <v>75</v>
      </c>
      <c r="D15" s="20" t="s">
        <v>76</v>
      </c>
      <c r="E15" s="11" t="s">
        <v>73</v>
      </c>
      <c r="F15" s="11" t="s">
        <v>65</v>
      </c>
      <c r="G15" s="11">
        <v>3.0</v>
      </c>
      <c r="H15" s="21">
        <v>3.0</v>
      </c>
      <c r="I15" s="22">
        <f t="shared" ref="I15:I29" si="45">G15-H15</f>
        <v>0</v>
      </c>
      <c r="J15" s="23"/>
      <c r="K15" s="22"/>
      <c r="L15" s="22">
        <f t="shared" ref="L15:L29" si="46">I15-K15</f>
        <v>0</v>
      </c>
      <c r="M15" s="23"/>
      <c r="N15" s="22"/>
      <c r="O15" s="22">
        <f t="shared" ref="O15:O29" si="47">L15-N15</f>
        <v>0</v>
      </c>
      <c r="P15" s="23"/>
      <c r="Q15" s="22"/>
      <c r="R15" s="22">
        <f t="shared" ref="R15:R29" si="48">O15-Q15</f>
        <v>0</v>
      </c>
      <c r="S15" s="23"/>
      <c r="T15" s="22"/>
      <c r="U15" s="22">
        <f t="shared" ref="U15:U29" si="49">R15-T15</f>
        <v>0</v>
      </c>
      <c r="V15" s="23"/>
      <c r="W15" s="22"/>
      <c r="X15" s="22">
        <f t="shared" ref="X15:X29" si="50">U15-W15</f>
        <v>0</v>
      </c>
      <c r="Y15" s="23"/>
      <c r="Z15" s="22"/>
      <c r="AA15" s="22">
        <f t="shared" ref="AA15:AA29" si="51">X15-Z15</f>
        <v>0</v>
      </c>
      <c r="AB15" s="23"/>
      <c r="AC15" s="22"/>
      <c r="AD15" s="22">
        <f t="shared" ref="AD15:AD29" si="52">AA15-AC15</f>
        <v>0</v>
      </c>
      <c r="AE15" s="23"/>
      <c r="AF15" s="22"/>
      <c r="AG15" s="22">
        <f t="shared" ref="AG15:AG29" si="53">AD15-AF15</f>
        <v>0</v>
      </c>
      <c r="AH15" s="23"/>
      <c r="AI15" s="22"/>
      <c r="AJ15" s="22">
        <f t="shared" ref="AJ15:AJ29" si="54">AG15-AI15</f>
        <v>0</v>
      </c>
      <c r="AK15" s="23"/>
      <c r="AL15" s="22"/>
      <c r="AM15" s="22">
        <f t="shared" ref="AM15:AM29" si="55">AJ15-AL15</f>
        <v>0</v>
      </c>
      <c r="AN15" s="23"/>
      <c r="AO15" s="22"/>
      <c r="AP15" s="22">
        <f t="shared" ref="AP15:AP29" si="56">AM15-AO15</f>
        <v>0</v>
      </c>
      <c r="AQ15" s="23"/>
      <c r="AR15" s="22"/>
      <c r="AS15" s="22">
        <f t="shared" ref="AS15:AS29" si="57">AP15-AR15</f>
        <v>0</v>
      </c>
      <c r="AT15" s="23"/>
      <c r="AU15" s="22"/>
      <c r="AV15" s="22">
        <f t="shared" ref="AV15:AV29" si="58">AS15-AU15</f>
        <v>0</v>
      </c>
      <c r="AW15" s="23"/>
      <c r="AX15" s="22"/>
      <c r="AY15" s="22">
        <f t="shared" ref="AY15:AY29" si="59">AV15-AX15</f>
        <v>0</v>
      </c>
      <c r="AZ15" s="23"/>
      <c r="BA15" s="22"/>
      <c r="BB15" s="22">
        <f t="shared" ref="BB15:BB29" si="60">AY15-BA15</f>
        <v>0</v>
      </c>
      <c r="BC15" s="23"/>
      <c r="BD15" s="22"/>
      <c r="BE15" s="22">
        <f t="shared" ref="BE15:BE29" si="61">BB15-BD15</f>
        <v>0</v>
      </c>
      <c r="BF15" s="23"/>
      <c r="BG15" s="22"/>
      <c r="BH15" s="22">
        <f t="shared" ref="BH15:BH29" si="62">BE15-BG15</f>
        <v>0</v>
      </c>
      <c r="BI15" s="23"/>
      <c r="BJ15" s="22"/>
      <c r="BK15" s="22">
        <f t="shared" ref="BK15:BK29" si="63">BH15-BJ15</f>
        <v>0</v>
      </c>
      <c r="BL15" s="23"/>
      <c r="BM15" s="22"/>
      <c r="BN15" s="22">
        <f t="shared" ref="BN15:BN29" si="64">BK15-BM15</f>
        <v>0</v>
      </c>
      <c r="BO15" s="23"/>
      <c r="BP15" s="24">
        <f t="shared" ref="BP15:BP29" si="65">H15+K15+N15+Q15+T15+W15+Z15+AC15+AF15+AI15+AL15+AO15+AR15+AU15+AX15+BA15+BD15+BG15+BJ15+BM15</f>
        <v>3</v>
      </c>
      <c r="BQ15" s="24">
        <f t="shared" ref="BQ15:BQ29" si="66">G15-BP15</f>
        <v>0</v>
      </c>
    </row>
    <row r="16" ht="54.75" customHeight="1">
      <c r="A16" s="2"/>
      <c r="B16" s="31" t="s">
        <v>77</v>
      </c>
      <c r="C16" s="20" t="s">
        <v>78</v>
      </c>
      <c r="D16" s="20" t="s">
        <v>79</v>
      </c>
      <c r="E16" s="11" t="s">
        <v>73</v>
      </c>
      <c r="F16" s="11" t="s">
        <v>65</v>
      </c>
      <c r="G16" s="11">
        <v>1.0</v>
      </c>
      <c r="H16" s="22"/>
      <c r="I16" s="22">
        <f t="shared" si="45"/>
        <v>1</v>
      </c>
      <c r="J16" s="23"/>
      <c r="K16" s="21">
        <v>1.0</v>
      </c>
      <c r="L16" s="22">
        <f t="shared" si="46"/>
        <v>0</v>
      </c>
      <c r="M16" s="23"/>
      <c r="N16" s="22"/>
      <c r="O16" s="22">
        <f t="shared" si="47"/>
        <v>0</v>
      </c>
      <c r="P16" s="23"/>
      <c r="Q16" s="22"/>
      <c r="R16" s="22">
        <f t="shared" si="48"/>
        <v>0</v>
      </c>
      <c r="S16" s="23"/>
      <c r="T16" s="22"/>
      <c r="U16" s="22">
        <f t="shared" si="49"/>
        <v>0</v>
      </c>
      <c r="V16" s="23"/>
      <c r="W16" s="22"/>
      <c r="X16" s="22">
        <f t="shared" si="50"/>
        <v>0</v>
      </c>
      <c r="Y16" s="23"/>
      <c r="Z16" s="22"/>
      <c r="AA16" s="22">
        <f t="shared" si="51"/>
        <v>0</v>
      </c>
      <c r="AB16" s="23"/>
      <c r="AC16" s="22"/>
      <c r="AD16" s="22">
        <f t="shared" si="52"/>
        <v>0</v>
      </c>
      <c r="AE16" s="23"/>
      <c r="AF16" s="22"/>
      <c r="AG16" s="22">
        <f t="shared" si="53"/>
        <v>0</v>
      </c>
      <c r="AH16" s="23"/>
      <c r="AI16" s="22"/>
      <c r="AJ16" s="22">
        <f t="shared" si="54"/>
        <v>0</v>
      </c>
      <c r="AK16" s="23"/>
      <c r="AL16" s="22"/>
      <c r="AM16" s="22">
        <f t="shared" si="55"/>
        <v>0</v>
      </c>
      <c r="AN16" s="23"/>
      <c r="AO16" s="22"/>
      <c r="AP16" s="22">
        <f t="shared" si="56"/>
        <v>0</v>
      </c>
      <c r="AQ16" s="23"/>
      <c r="AR16" s="22"/>
      <c r="AS16" s="22">
        <f t="shared" si="57"/>
        <v>0</v>
      </c>
      <c r="AT16" s="23"/>
      <c r="AU16" s="22"/>
      <c r="AV16" s="22">
        <f t="shared" si="58"/>
        <v>0</v>
      </c>
      <c r="AW16" s="23"/>
      <c r="AX16" s="22"/>
      <c r="AY16" s="22">
        <f t="shared" si="59"/>
        <v>0</v>
      </c>
      <c r="AZ16" s="23"/>
      <c r="BA16" s="22"/>
      <c r="BB16" s="22">
        <f t="shared" si="60"/>
        <v>0</v>
      </c>
      <c r="BC16" s="23"/>
      <c r="BD16" s="22"/>
      <c r="BE16" s="22">
        <f t="shared" si="61"/>
        <v>0</v>
      </c>
      <c r="BF16" s="23"/>
      <c r="BG16" s="22"/>
      <c r="BH16" s="22">
        <f t="shared" si="62"/>
        <v>0</v>
      </c>
      <c r="BI16" s="23"/>
      <c r="BJ16" s="22"/>
      <c r="BK16" s="22">
        <f t="shared" si="63"/>
        <v>0</v>
      </c>
      <c r="BL16" s="23"/>
      <c r="BM16" s="22"/>
      <c r="BN16" s="22">
        <f t="shared" si="64"/>
        <v>0</v>
      </c>
      <c r="BO16" s="23"/>
      <c r="BP16" s="24">
        <f t="shared" si="65"/>
        <v>1</v>
      </c>
      <c r="BQ16" s="24">
        <f t="shared" si="66"/>
        <v>0</v>
      </c>
    </row>
    <row r="17" ht="68.25" customHeight="1">
      <c r="A17" s="2"/>
      <c r="B17" s="31" t="s">
        <v>80</v>
      </c>
      <c r="C17" s="20" t="s">
        <v>81</v>
      </c>
      <c r="D17" s="20" t="s">
        <v>82</v>
      </c>
      <c r="E17" s="11" t="s">
        <v>73</v>
      </c>
      <c r="F17" s="11" t="s">
        <v>65</v>
      </c>
      <c r="G17" s="11">
        <v>3.0</v>
      </c>
      <c r="H17" s="22"/>
      <c r="I17" s="22">
        <f t="shared" si="45"/>
        <v>3</v>
      </c>
      <c r="J17" s="23"/>
      <c r="K17" s="21">
        <v>2.0</v>
      </c>
      <c r="L17" s="22">
        <f t="shared" si="46"/>
        <v>1</v>
      </c>
      <c r="M17" s="23"/>
      <c r="N17" s="21">
        <v>1.0</v>
      </c>
      <c r="O17" s="22">
        <f t="shared" si="47"/>
        <v>0</v>
      </c>
      <c r="P17" s="23"/>
      <c r="Q17" s="22"/>
      <c r="R17" s="22">
        <f t="shared" si="48"/>
        <v>0</v>
      </c>
      <c r="S17" s="23"/>
      <c r="T17" s="22"/>
      <c r="U17" s="22">
        <f t="shared" si="49"/>
        <v>0</v>
      </c>
      <c r="V17" s="23"/>
      <c r="W17" s="22"/>
      <c r="X17" s="22">
        <f t="shared" si="50"/>
        <v>0</v>
      </c>
      <c r="Y17" s="23"/>
      <c r="Z17" s="22"/>
      <c r="AA17" s="22">
        <f t="shared" si="51"/>
        <v>0</v>
      </c>
      <c r="AB17" s="23"/>
      <c r="AC17" s="22"/>
      <c r="AD17" s="22">
        <f t="shared" si="52"/>
        <v>0</v>
      </c>
      <c r="AE17" s="23"/>
      <c r="AF17" s="22"/>
      <c r="AG17" s="22">
        <f t="shared" si="53"/>
        <v>0</v>
      </c>
      <c r="AH17" s="23"/>
      <c r="AI17" s="22"/>
      <c r="AJ17" s="22">
        <f t="shared" si="54"/>
        <v>0</v>
      </c>
      <c r="AK17" s="23"/>
      <c r="AL17" s="22"/>
      <c r="AM17" s="22">
        <f t="shared" si="55"/>
        <v>0</v>
      </c>
      <c r="AN17" s="23"/>
      <c r="AO17" s="22"/>
      <c r="AP17" s="22">
        <f t="shared" si="56"/>
        <v>0</v>
      </c>
      <c r="AQ17" s="23"/>
      <c r="AR17" s="22"/>
      <c r="AS17" s="22">
        <f t="shared" si="57"/>
        <v>0</v>
      </c>
      <c r="AT17" s="23"/>
      <c r="AU17" s="22"/>
      <c r="AV17" s="22">
        <f t="shared" si="58"/>
        <v>0</v>
      </c>
      <c r="AW17" s="23"/>
      <c r="AX17" s="22"/>
      <c r="AY17" s="22">
        <f t="shared" si="59"/>
        <v>0</v>
      </c>
      <c r="AZ17" s="23"/>
      <c r="BA17" s="22"/>
      <c r="BB17" s="22">
        <f t="shared" si="60"/>
        <v>0</v>
      </c>
      <c r="BC17" s="23"/>
      <c r="BD17" s="22"/>
      <c r="BE17" s="22">
        <f t="shared" si="61"/>
        <v>0</v>
      </c>
      <c r="BF17" s="23"/>
      <c r="BG17" s="22"/>
      <c r="BH17" s="22">
        <f t="shared" si="62"/>
        <v>0</v>
      </c>
      <c r="BI17" s="23"/>
      <c r="BJ17" s="22"/>
      <c r="BK17" s="22">
        <f t="shared" si="63"/>
        <v>0</v>
      </c>
      <c r="BL17" s="23"/>
      <c r="BM17" s="22"/>
      <c r="BN17" s="22">
        <f t="shared" si="64"/>
        <v>0</v>
      </c>
      <c r="BO17" s="23"/>
      <c r="BP17" s="24">
        <f t="shared" si="65"/>
        <v>3</v>
      </c>
      <c r="BQ17" s="24">
        <f t="shared" si="66"/>
        <v>0</v>
      </c>
    </row>
    <row r="18" ht="54.75" customHeight="1">
      <c r="A18" s="2"/>
      <c r="B18" s="31" t="s">
        <v>83</v>
      </c>
      <c r="C18" s="20" t="s">
        <v>84</v>
      </c>
      <c r="D18" s="20" t="s">
        <v>85</v>
      </c>
      <c r="E18" s="11" t="s">
        <v>73</v>
      </c>
      <c r="F18" s="11" t="s">
        <v>65</v>
      </c>
      <c r="G18" s="11">
        <v>2.0</v>
      </c>
      <c r="H18" s="22"/>
      <c r="I18" s="22">
        <f t="shared" si="45"/>
        <v>2</v>
      </c>
      <c r="J18" s="23"/>
      <c r="K18" s="22"/>
      <c r="L18" s="22">
        <f t="shared" si="46"/>
        <v>2</v>
      </c>
      <c r="M18" s="23"/>
      <c r="N18" s="21">
        <v>2.0</v>
      </c>
      <c r="O18" s="22">
        <f t="shared" si="47"/>
        <v>0</v>
      </c>
      <c r="P18" s="23"/>
      <c r="Q18" s="22"/>
      <c r="R18" s="22">
        <f t="shared" si="48"/>
        <v>0</v>
      </c>
      <c r="S18" s="23"/>
      <c r="T18" s="22"/>
      <c r="U18" s="22">
        <f t="shared" si="49"/>
        <v>0</v>
      </c>
      <c r="V18" s="23"/>
      <c r="W18" s="22"/>
      <c r="X18" s="22">
        <f t="shared" si="50"/>
        <v>0</v>
      </c>
      <c r="Y18" s="23"/>
      <c r="Z18" s="22"/>
      <c r="AA18" s="22">
        <f t="shared" si="51"/>
        <v>0</v>
      </c>
      <c r="AB18" s="23"/>
      <c r="AC18" s="22"/>
      <c r="AD18" s="22">
        <f t="shared" si="52"/>
        <v>0</v>
      </c>
      <c r="AE18" s="23"/>
      <c r="AF18" s="22"/>
      <c r="AG18" s="22">
        <f t="shared" si="53"/>
        <v>0</v>
      </c>
      <c r="AH18" s="23"/>
      <c r="AI18" s="22"/>
      <c r="AJ18" s="22">
        <f t="shared" si="54"/>
        <v>0</v>
      </c>
      <c r="AK18" s="23"/>
      <c r="AL18" s="22"/>
      <c r="AM18" s="22">
        <f t="shared" si="55"/>
        <v>0</v>
      </c>
      <c r="AN18" s="23"/>
      <c r="AO18" s="22"/>
      <c r="AP18" s="22">
        <f t="shared" si="56"/>
        <v>0</v>
      </c>
      <c r="AQ18" s="23"/>
      <c r="AR18" s="22"/>
      <c r="AS18" s="22">
        <f t="shared" si="57"/>
        <v>0</v>
      </c>
      <c r="AT18" s="23"/>
      <c r="AU18" s="22"/>
      <c r="AV18" s="22">
        <f t="shared" si="58"/>
        <v>0</v>
      </c>
      <c r="AW18" s="23"/>
      <c r="AX18" s="22"/>
      <c r="AY18" s="22">
        <f t="shared" si="59"/>
        <v>0</v>
      </c>
      <c r="AZ18" s="23"/>
      <c r="BA18" s="22"/>
      <c r="BB18" s="22">
        <f t="shared" si="60"/>
        <v>0</v>
      </c>
      <c r="BC18" s="23"/>
      <c r="BD18" s="22"/>
      <c r="BE18" s="22">
        <f t="shared" si="61"/>
        <v>0</v>
      </c>
      <c r="BF18" s="23"/>
      <c r="BG18" s="22"/>
      <c r="BH18" s="22">
        <f t="shared" si="62"/>
        <v>0</v>
      </c>
      <c r="BI18" s="23"/>
      <c r="BJ18" s="22"/>
      <c r="BK18" s="22">
        <f t="shared" si="63"/>
        <v>0</v>
      </c>
      <c r="BL18" s="23"/>
      <c r="BM18" s="22"/>
      <c r="BN18" s="22">
        <f t="shared" si="64"/>
        <v>0</v>
      </c>
      <c r="BO18" s="23"/>
      <c r="BP18" s="24">
        <f t="shared" si="65"/>
        <v>2</v>
      </c>
      <c r="BQ18" s="24">
        <f t="shared" si="66"/>
        <v>0</v>
      </c>
    </row>
    <row r="19" ht="54.75" customHeight="1">
      <c r="A19" s="2"/>
      <c r="B19" s="31" t="s">
        <v>86</v>
      </c>
      <c r="C19" s="20" t="s">
        <v>87</v>
      </c>
      <c r="D19" s="20" t="s">
        <v>88</v>
      </c>
      <c r="E19" s="11" t="s">
        <v>73</v>
      </c>
      <c r="F19" s="11" t="s">
        <v>65</v>
      </c>
      <c r="G19" s="11">
        <v>3.0</v>
      </c>
      <c r="H19" s="22"/>
      <c r="I19" s="22">
        <f t="shared" si="45"/>
        <v>3</v>
      </c>
      <c r="J19" s="23"/>
      <c r="K19" s="22"/>
      <c r="L19" s="22">
        <f t="shared" si="46"/>
        <v>3</v>
      </c>
      <c r="M19" s="23"/>
      <c r="N19" s="22"/>
      <c r="O19" s="22">
        <f t="shared" si="47"/>
        <v>3</v>
      </c>
      <c r="P19" s="23"/>
      <c r="Q19" s="21">
        <v>3.0</v>
      </c>
      <c r="R19" s="22">
        <f t="shared" si="48"/>
        <v>0</v>
      </c>
      <c r="S19" s="23"/>
      <c r="T19" s="22"/>
      <c r="U19" s="22">
        <f t="shared" si="49"/>
        <v>0</v>
      </c>
      <c r="V19" s="23"/>
      <c r="W19" s="22"/>
      <c r="X19" s="22">
        <f t="shared" si="50"/>
        <v>0</v>
      </c>
      <c r="Y19" s="23"/>
      <c r="Z19" s="22"/>
      <c r="AA19" s="22">
        <f t="shared" si="51"/>
        <v>0</v>
      </c>
      <c r="AB19" s="23"/>
      <c r="AC19" s="22"/>
      <c r="AD19" s="22">
        <f t="shared" si="52"/>
        <v>0</v>
      </c>
      <c r="AE19" s="23"/>
      <c r="AF19" s="22"/>
      <c r="AG19" s="22">
        <f t="shared" si="53"/>
        <v>0</v>
      </c>
      <c r="AH19" s="23"/>
      <c r="AI19" s="22"/>
      <c r="AJ19" s="22">
        <f t="shared" si="54"/>
        <v>0</v>
      </c>
      <c r="AK19" s="23"/>
      <c r="AL19" s="22"/>
      <c r="AM19" s="22">
        <f t="shared" si="55"/>
        <v>0</v>
      </c>
      <c r="AN19" s="23"/>
      <c r="AO19" s="22"/>
      <c r="AP19" s="22">
        <f t="shared" si="56"/>
        <v>0</v>
      </c>
      <c r="AQ19" s="23"/>
      <c r="AR19" s="22"/>
      <c r="AS19" s="22">
        <f t="shared" si="57"/>
        <v>0</v>
      </c>
      <c r="AT19" s="23"/>
      <c r="AU19" s="22"/>
      <c r="AV19" s="22">
        <f t="shared" si="58"/>
        <v>0</v>
      </c>
      <c r="AW19" s="23"/>
      <c r="AX19" s="22"/>
      <c r="AY19" s="22">
        <f t="shared" si="59"/>
        <v>0</v>
      </c>
      <c r="AZ19" s="23"/>
      <c r="BA19" s="22"/>
      <c r="BB19" s="22">
        <f t="shared" si="60"/>
        <v>0</v>
      </c>
      <c r="BC19" s="23"/>
      <c r="BD19" s="22"/>
      <c r="BE19" s="22">
        <f t="shared" si="61"/>
        <v>0</v>
      </c>
      <c r="BF19" s="23"/>
      <c r="BG19" s="22"/>
      <c r="BH19" s="22">
        <f t="shared" si="62"/>
        <v>0</v>
      </c>
      <c r="BI19" s="23"/>
      <c r="BJ19" s="22"/>
      <c r="BK19" s="22">
        <f t="shared" si="63"/>
        <v>0</v>
      </c>
      <c r="BL19" s="23"/>
      <c r="BM19" s="22"/>
      <c r="BN19" s="22">
        <f t="shared" si="64"/>
        <v>0</v>
      </c>
      <c r="BO19" s="23"/>
      <c r="BP19" s="24">
        <f t="shared" si="65"/>
        <v>3</v>
      </c>
      <c r="BQ19" s="24">
        <f t="shared" si="66"/>
        <v>0</v>
      </c>
    </row>
    <row r="20" ht="54.75" customHeight="1">
      <c r="A20" s="2"/>
      <c r="B20" s="31" t="s">
        <v>89</v>
      </c>
      <c r="C20" s="20" t="s">
        <v>90</v>
      </c>
      <c r="D20" s="20" t="s">
        <v>91</v>
      </c>
      <c r="E20" s="11" t="s">
        <v>73</v>
      </c>
      <c r="F20" s="11" t="s">
        <v>65</v>
      </c>
      <c r="G20" s="11">
        <v>1.0</v>
      </c>
      <c r="H20" s="22"/>
      <c r="I20" s="22">
        <f t="shared" si="45"/>
        <v>1</v>
      </c>
      <c r="J20" s="23"/>
      <c r="K20" s="22"/>
      <c r="L20" s="22">
        <f t="shared" si="46"/>
        <v>1</v>
      </c>
      <c r="M20" s="23"/>
      <c r="N20" s="22"/>
      <c r="O20" s="22">
        <f t="shared" si="47"/>
        <v>1</v>
      </c>
      <c r="P20" s="23"/>
      <c r="Q20" s="22"/>
      <c r="R20" s="22">
        <f t="shared" si="48"/>
        <v>1</v>
      </c>
      <c r="S20" s="23"/>
      <c r="T20" s="21">
        <v>1.0</v>
      </c>
      <c r="U20" s="22">
        <f t="shared" si="49"/>
        <v>0</v>
      </c>
      <c r="V20" s="23"/>
      <c r="W20" s="22"/>
      <c r="X20" s="22">
        <f t="shared" si="50"/>
        <v>0</v>
      </c>
      <c r="Y20" s="23"/>
      <c r="Z20" s="22"/>
      <c r="AA20" s="22">
        <f t="shared" si="51"/>
        <v>0</v>
      </c>
      <c r="AB20" s="23"/>
      <c r="AC20" s="22"/>
      <c r="AD20" s="22">
        <f t="shared" si="52"/>
        <v>0</v>
      </c>
      <c r="AE20" s="23"/>
      <c r="AF20" s="22"/>
      <c r="AG20" s="22">
        <f t="shared" si="53"/>
        <v>0</v>
      </c>
      <c r="AH20" s="23"/>
      <c r="AI20" s="22"/>
      <c r="AJ20" s="22">
        <f t="shared" si="54"/>
        <v>0</v>
      </c>
      <c r="AK20" s="23"/>
      <c r="AL20" s="22"/>
      <c r="AM20" s="22">
        <f t="shared" si="55"/>
        <v>0</v>
      </c>
      <c r="AN20" s="23"/>
      <c r="AO20" s="22"/>
      <c r="AP20" s="22">
        <f t="shared" si="56"/>
        <v>0</v>
      </c>
      <c r="AQ20" s="23"/>
      <c r="AR20" s="22"/>
      <c r="AS20" s="22">
        <f t="shared" si="57"/>
        <v>0</v>
      </c>
      <c r="AT20" s="23"/>
      <c r="AU20" s="22"/>
      <c r="AV20" s="22">
        <f t="shared" si="58"/>
        <v>0</v>
      </c>
      <c r="AW20" s="23"/>
      <c r="AX20" s="22"/>
      <c r="AY20" s="22">
        <f t="shared" si="59"/>
        <v>0</v>
      </c>
      <c r="AZ20" s="23"/>
      <c r="BA20" s="22"/>
      <c r="BB20" s="22">
        <f t="shared" si="60"/>
        <v>0</v>
      </c>
      <c r="BC20" s="23"/>
      <c r="BD20" s="22"/>
      <c r="BE20" s="22">
        <f t="shared" si="61"/>
        <v>0</v>
      </c>
      <c r="BF20" s="23"/>
      <c r="BG20" s="22"/>
      <c r="BH20" s="22">
        <f t="shared" si="62"/>
        <v>0</v>
      </c>
      <c r="BI20" s="23"/>
      <c r="BJ20" s="22"/>
      <c r="BK20" s="22">
        <f t="shared" si="63"/>
        <v>0</v>
      </c>
      <c r="BL20" s="23"/>
      <c r="BM20" s="22"/>
      <c r="BN20" s="22">
        <f t="shared" si="64"/>
        <v>0</v>
      </c>
      <c r="BO20" s="23"/>
      <c r="BP20" s="24">
        <f t="shared" si="65"/>
        <v>1</v>
      </c>
      <c r="BQ20" s="24">
        <f t="shared" si="66"/>
        <v>0</v>
      </c>
    </row>
    <row r="21" ht="54.75" customHeight="1">
      <c r="A21" s="2"/>
      <c r="B21" s="31" t="s">
        <v>92</v>
      </c>
      <c r="C21" s="20" t="s">
        <v>93</v>
      </c>
      <c r="D21" s="20" t="s">
        <v>94</v>
      </c>
      <c r="E21" s="11" t="s">
        <v>73</v>
      </c>
      <c r="F21" s="11" t="s">
        <v>65</v>
      </c>
      <c r="G21" s="11">
        <v>1.0</v>
      </c>
      <c r="H21" s="22"/>
      <c r="I21" s="22">
        <f t="shared" si="45"/>
        <v>1</v>
      </c>
      <c r="J21" s="23"/>
      <c r="K21" s="22"/>
      <c r="L21" s="22">
        <f t="shared" si="46"/>
        <v>1</v>
      </c>
      <c r="M21" s="23"/>
      <c r="N21" s="22"/>
      <c r="O21" s="22">
        <f t="shared" si="47"/>
        <v>1</v>
      </c>
      <c r="P21" s="23"/>
      <c r="Q21" s="22"/>
      <c r="R21" s="22">
        <f t="shared" si="48"/>
        <v>1</v>
      </c>
      <c r="S21" s="23"/>
      <c r="T21" s="21">
        <v>1.0</v>
      </c>
      <c r="U21" s="22">
        <f t="shared" si="49"/>
        <v>0</v>
      </c>
      <c r="V21" s="23"/>
      <c r="W21" s="22"/>
      <c r="X21" s="22">
        <f t="shared" si="50"/>
        <v>0</v>
      </c>
      <c r="Y21" s="23"/>
      <c r="Z21" s="22"/>
      <c r="AA21" s="22">
        <f t="shared" si="51"/>
        <v>0</v>
      </c>
      <c r="AB21" s="23"/>
      <c r="AC21" s="22"/>
      <c r="AD21" s="22">
        <f t="shared" si="52"/>
        <v>0</v>
      </c>
      <c r="AE21" s="23"/>
      <c r="AF21" s="22"/>
      <c r="AG21" s="22">
        <f t="shared" si="53"/>
        <v>0</v>
      </c>
      <c r="AH21" s="23"/>
      <c r="AI21" s="22"/>
      <c r="AJ21" s="22">
        <f t="shared" si="54"/>
        <v>0</v>
      </c>
      <c r="AK21" s="23"/>
      <c r="AL21" s="22"/>
      <c r="AM21" s="22">
        <f t="shared" si="55"/>
        <v>0</v>
      </c>
      <c r="AN21" s="23"/>
      <c r="AO21" s="22"/>
      <c r="AP21" s="22">
        <f t="shared" si="56"/>
        <v>0</v>
      </c>
      <c r="AQ21" s="23"/>
      <c r="AR21" s="22"/>
      <c r="AS21" s="22">
        <f t="shared" si="57"/>
        <v>0</v>
      </c>
      <c r="AT21" s="23"/>
      <c r="AU21" s="22"/>
      <c r="AV21" s="22">
        <f t="shared" si="58"/>
        <v>0</v>
      </c>
      <c r="AW21" s="23"/>
      <c r="AX21" s="22"/>
      <c r="AY21" s="22">
        <f t="shared" si="59"/>
        <v>0</v>
      </c>
      <c r="AZ21" s="23"/>
      <c r="BA21" s="22"/>
      <c r="BB21" s="22">
        <f t="shared" si="60"/>
        <v>0</v>
      </c>
      <c r="BC21" s="23"/>
      <c r="BD21" s="22"/>
      <c r="BE21" s="22">
        <f t="shared" si="61"/>
        <v>0</v>
      </c>
      <c r="BF21" s="23"/>
      <c r="BG21" s="22"/>
      <c r="BH21" s="22">
        <f t="shared" si="62"/>
        <v>0</v>
      </c>
      <c r="BI21" s="23"/>
      <c r="BJ21" s="22"/>
      <c r="BK21" s="22">
        <f t="shared" si="63"/>
        <v>0</v>
      </c>
      <c r="BL21" s="23"/>
      <c r="BM21" s="22"/>
      <c r="BN21" s="22">
        <f t="shared" si="64"/>
        <v>0</v>
      </c>
      <c r="BO21" s="23"/>
      <c r="BP21" s="24">
        <f t="shared" si="65"/>
        <v>1</v>
      </c>
      <c r="BQ21" s="24">
        <f t="shared" si="66"/>
        <v>0</v>
      </c>
    </row>
    <row r="22" ht="15.75" customHeight="1">
      <c r="A22" s="2"/>
      <c r="B22" s="31" t="s">
        <v>95</v>
      </c>
      <c r="C22" s="20" t="s">
        <v>96</v>
      </c>
      <c r="D22" s="20" t="s">
        <v>97</v>
      </c>
      <c r="E22" s="11" t="s">
        <v>73</v>
      </c>
      <c r="F22" s="11" t="s">
        <v>65</v>
      </c>
      <c r="G22" s="11">
        <v>2.0</v>
      </c>
      <c r="H22" s="22"/>
      <c r="I22" s="22">
        <f t="shared" si="45"/>
        <v>2</v>
      </c>
      <c r="J22" s="23"/>
      <c r="K22" s="22"/>
      <c r="L22" s="22">
        <f t="shared" si="46"/>
        <v>2</v>
      </c>
      <c r="M22" s="23"/>
      <c r="N22" s="22"/>
      <c r="O22" s="22">
        <f t="shared" si="47"/>
        <v>2</v>
      </c>
      <c r="P22" s="23"/>
      <c r="Q22" s="22"/>
      <c r="R22" s="22">
        <f t="shared" si="48"/>
        <v>2</v>
      </c>
      <c r="S22" s="23"/>
      <c r="T22" s="21">
        <v>1.0</v>
      </c>
      <c r="U22" s="22">
        <f t="shared" si="49"/>
        <v>1</v>
      </c>
      <c r="V22" s="23"/>
      <c r="W22" s="21">
        <v>1.0</v>
      </c>
      <c r="X22" s="22">
        <f t="shared" si="50"/>
        <v>0</v>
      </c>
      <c r="Y22" s="23"/>
      <c r="Z22" s="22"/>
      <c r="AA22" s="22">
        <f t="shared" si="51"/>
        <v>0</v>
      </c>
      <c r="AB22" s="23"/>
      <c r="AC22" s="22"/>
      <c r="AD22" s="22">
        <f t="shared" si="52"/>
        <v>0</v>
      </c>
      <c r="AE22" s="23"/>
      <c r="AF22" s="22"/>
      <c r="AG22" s="22">
        <f t="shared" si="53"/>
        <v>0</v>
      </c>
      <c r="AH22" s="23"/>
      <c r="AI22" s="22"/>
      <c r="AJ22" s="22">
        <f t="shared" si="54"/>
        <v>0</v>
      </c>
      <c r="AK22" s="23"/>
      <c r="AL22" s="22"/>
      <c r="AM22" s="22">
        <f t="shared" si="55"/>
        <v>0</v>
      </c>
      <c r="AN22" s="23"/>
      <c r="AO22" s="22"/>
      <c r="AP22" s="22">
        <f t="shared" si="56"/>
        <v>0</v>
      </c>
      <c r="AQ22" s="23"/>
      <c r="AR22" s="22"/>
      <c r="AS22" s="22">
        <f t="shared" si="57"/>
        <v>0</v>
      </c>
      <c r="AT22" s="23"/>
      <c r="AU22" s="22"/>
      <c r="AV22" s="22">
        <f t="shared" si="58"/>
        <v>0</v>
      </c>
      <c r="AW22" s="23"/>
      <c r="AX22" s="22"/>
      <c r="AY22" s="22">
        <f t="shared" si="59"/>
        <v>0</v>
      </c>
      <c r="AZ22" s="23"/>
      <c r="BA22" s="22"/>
      <c r="BB22" s="22">
        <f t="shared" si="60"/>
        <v>0</v>
      </c>
      <c r="BC22" s="23"/>
      <c r="BD22" s="22"/>
      <c r="BE22" s="22">
        <f t="shared" si="61"/>
        <v>0</v>
      </c>
      <c r="BF22" s="23"/>
      <c r="BG22" s="22"/>
      <c r="BH22" s="22">
        <f t="shared" si="62"/>
        <v>0</v>
      </c>
      <c r="BI22" s="23"/>
      <c r="BJ22" s="22"/>
      <c r="BK22" s="22">
        <f t="shared" si="63"/>
        <v>0</v>
      </c>
      <c r="BL22" s="23"/>
      <c r="BM22" s="22"/>
      <c r="BN22" s="22">
        <f t="shared" si="64"/>
        <v>0</v>
      </c>
      <c r="BO22" s="23"/>
      <c r="BP22" s="24">
        <f t="shared" si="65"/>
        <v>2</v>
      </c>
      <c r="BQ22" s="24">
        <f t="shared" si="66"/>
        <v>0</v>
      </c>
    </row>
    <row r="23" ht="15.75" customHeight="1">
      <c r="A23" s="2"/>
      <c r="B23" s="31"/>
      <c r="C23" s="20"/>
      <c r="D23" s="20" t="s">
        <v>98</v>
      </c>
      <c r="E23" s="11" t="s">
        <v>73</v>
      </c>
      <c r="F23" s="11" t="s">
        <v>65</v>
      </c>
      <c r="G23" s="11">
        <v>2.0</v>
      </c>
      <c r="H23" s="22"/>
      <c r="I23" s="22">
        <f t="shared" si="45"/>
        <v>2</v>
      </c>
      <c r="J23" s="23"/>
      <c r="K23" s="22"/>
      <c r="L23" s="22">
        <f t="shared" si="46"/>
        <v>2</v>
      </c>
      <c r="M23" s="23"/>
      <c r="N23" s="22"/>
      <c r="O23" s="22">
        <f t="shared" si="47"/>
        <v>2</v>
      </c>
      <c r="P23" s="23"/>
      <c r="Q23" s="22"/>
      <c r="R23" s="22">
        <f t="shared" si="48"/>
        <v>2</v>
      </c>
      <c r="S23" s="23"/>
      <c r="T23" s="22"/>
      <c r="U23" s="22">
        <f t="shared" si="49"/>
        <v>2</v>
      </c>
      <c r="V23" s="23"/>
      <c r="W23" s="21">
        <v>2.0</v>
      </c>
      <c r="X23" s="22">
        <f t="shared" si="50"/>
        <v>0</v>
      </c>
      <c r="Y23" s="23"/>
      <c r="Z23" s="22"/>
      <c r="AA23" s="22">
        <f t="shared" si="51"/>
        <v>0</v>
      </c>
      <c r="AB23" s="23"/>
      <c r="AC23" s="22"/>
      <c r="AD23" s="22">
        <f t="shared" si="52"/>
        <v>0</v>
      </c>
      <c r="AE23" s="23"/>
      <c r="AF23" s="22"/>
      <c r="AG23" s="22">
        <f t="shared" si="53"/>
        <v>0</v>
      </c>
      <c r="AH23" s="23"/>
      <c r="AI23" s="22"/>
      <c r="AJ23" s="22">
        <f t="shared" si="54"/>
        <v>0</v>
      </c>
      <c r="AK23" s="23"/>
      <c r="AL23" s="22"/>
      <c r="AM23" s="22">
        <f t="shared" si="55"/>
        <v>0</v>
      </c>
      <c r="AN23" s="23"/>
      <c r="AO23" s="22"/>
      <c r="AP23" s="22">
        <f t="shared" si="56"/>
        <v>0</v>
      </c>
      <c r="AQ23" s="23"/>
      <c r="AR23" s="22"/>
      <c r="AS23" s="22">
        <f t="shared" si="57"/>
        <v>0</v>
      </c>
      <c r="AT23" s="23"/>
      <c r="AU23" s="22"/>
      <c r="AV23" s="22">
        <f t="shared" si="58"/>
        <v>0</v>
      </c>
      <c r="AW23" s="23"/>
      <c r="AX23" s="22"/>
      <c r="AY23" s="22">
        <f t="shared" si="59"/>
        <v>0</v>
      </c>
      <c r="AZ23" s="23"/>
      <c r="BA23" s="22"/>
      <c r="BB23" s="22">
        <f t="shared" si="60"/>
        <v>0</v>
      </c>
      <c r="BC23" s="23"/>
      <c r="BD23" s="22"/>
      <c r="BE23" s="22">
        <f t="shared" si="61"/>
        <v>0</v>
      </c>
      <c r="BF23" s="23"/>
      <c r="BG23" s="22"/>
      <c r="BH23" s="22">
        <f t="shared" si="62"/>
        <v>0</v>
      </c>
      <c r="BI23" s="23"/>
      <c r="BJ23" s="22"/>
      <c r="BK23" s="22">
        <f t="shared" si="63"/>
        <v>0</v>
      </c>
      <c r="BL23" s="23"/>
      <c r="BM23" s="22"/>
      <c r="BN23" s="22">
        <f t="shared" si="64"/>
        <v>0</v>
      </c>
      <c r="BO23" s="23"/>
      <c r="BP23" s="24">
        <f t="shared" si="65"/>
        <v>2</v>
      </c>
      <c r="BQ23" s="24">
        <f t="shared" si="66"/>
        <v>0</v>
      </c>
    </row>
    <row r="24" ht="15.75" customHeight="1">
      <c r="A24" s="2"/>
      <c r="B24" s="31" t="s">
        <v>99</v>
      </c>
      <c r="C24" s="20" t="s">
        <v>100</v>
      </c>
      <c r="D24" s="20" t="s">
        <v>101</v>
      </c>
      <c r="E24" s="11" t="s">
        <v>73</v>
      </c>
      <c r="F24" s="11" t="s">
        <v>65</v>
      </c>
      <c r="G24" s="11">
        <v>2.0</v>
      </c>
      <c r="H24" s="22"/>
      <c r="I24" s="22">
        <f t="shared" si="45"/>
        <v>2</v>
      </c>
      <c r="J24" s="23"/>
      <c r="K24" s="22"/>
      <c r="L24" s="22">
        <f t="shared" si="46"/>
        <v>2</v>
      </c>
      <c r="M24" s="23"/>
      <c r="N24" s="22"/>
      <c r="O24" s="22">
        <f t="shared" si="47"/>
        <v>2</v>
      </c>
      <c r="P24" s="23"/>
      <c r="Q24" s="22"/>
      <c r="R24" s="22">
        <f t="shared" si="48"/>
        <v>2</v>
      </c>
      <c r="S24" s="23"/>
      <c r="T24" s="22"/>
      <c r="U24" s="22">
        <f t="shared" si="49"/>
        <v>2</v>
      </c>
      <c r="V24" s="23"/>
      <c r="W24" s="21"/>
      <c r="X24" s="22">
        <f t="shared" si="50"/>
        <v>2</v>
      </c>
      <c r="Y24" s="23"/>
      <c r="Z24" s="21">
        <v>2.0</v>
      </c>
      <c r="AA24" s="22">
        <f t="shared" si="51"/>
        <v>0</v>
      </c>
      <c r="AB24" s="23"/>
      <c r="AC24" s="22"/>
      <c r="AD24" s="22">
        <f t="shared" si="52"/>
        <v>0</v>
      </c>
      <c r="AE24" s="23"/>
      <c r="AF24" s="22"/>
      <c r="AG24" s="22">
        <f t="shared" si="53"/>
        <v>0</v>
      </c>
      <c r="AH24" s="23"/>
      <c r="AI24" s="22"/>
      <c r="AJ24" s="22">
        <f t="shared" si="54"/>
        <v>0</v>
      </c>
      <c r="AK24" s="23"/>
      <c r="AL24" s="22"/>
      <c r="AM24" s="22">
        <f t="shared" si="55"/>
        <v>0</v>
      </c>
      <c r="AN24" s="23"/>
      <c r="AO24" s="22"/>
      <c r="AP24" s="22">
        <f t="shared" si="56"/>
        <v>0</v>
      </c>
      <c r="AQ24" s="23"/>
      <c r="AR24" s="22"/>
      <c r="AS24" s="22">
        <f t="shared" si="57"/>
        <v>0</v>
      </c>
      <c r="AT24" s="23"/>
      <c r="AU24" s="22"/>
      <c r="AV24" s="22">
        <f t="shared" si="58"/>
        <v>0</v>
      </c>
      <c r="AW24" s="23"/>
      <c r="AX24" s="22"/>
      <c r="AY24" s="22">
        <f t="shared" si="59"/>
        <v>0</v>
      </c>
      <c r="AZ24" s="23"/>
      <c r="BA24" s="22"/>
      <c r="BB24" s="22">
        <f t="shared" si="60"/>
        <v>0</v>
      </c>
      <c r="BC24" s="23"/>
      <c r="BD24" s="22"/>
      <c r="BE24" s="22">
        <f t="shared" si="61"/>
        <v>0</v>
      </c>
      <c r="BF24" s="23"/>
      <c r="BG24" s="22"/>
      <c r="BH24" s="22">
        <f t="shared" si="62"/>
        <v>0</v>
      </c>
      <c r="BI24" s="23"/>
      <c r="BJ24" s="22"/>
      <c r="BK24" s="22">
        <f t="shared" si="63"/>
        <v>0</v>
      </c>
      <c r="BL24" s="23"/>
      <c r="BM24" s="22"/>
      <c r="BN24" s="22">
        <f t="shared" si="64"/>
        <v>0</v>
      </c>
      <c r="BO24" s="23"/>
      <c r="BP24" s="24">
        <f t="shared" si="65"/>
        <v>2</v>
      </c>
      <c r="BQ24" s="24">
        <f t="shared" si="66"/>
        <v>0</v>
      </c>
    </row>
    <row r="25" ht="15.75" customHeight="1">
      <c r="A25" s="2"/>
      <c r="B25" s="31"/>
      <c r="C25" s="20"/>
      <c r="D25" s="20" t="s">
        <v>102</v>
      </c>
      <c r="E25" s="11" t="s">
        <v>73</v>
      </c>
      <c r="F25" s="11" t="s">
        <v>65</v>
      </c>
      <c r="G25" s="11">
        <v>2.0</v>
      </c>
      <c r="H25" s="22"/>
      <c r="I25" s="22">
        <f t="shared" si="45"/>
        <v>2</v>
      </c>
      <c r="J25" s="23"/>
      <c r="K25" s="22"/>
      <c r="L25" s="22">
        <f t="shared" si="46"/>
        <v>2</v>
      </c>
      <c r="M25" s="23"/>
      <c r="N25" s="22"/>
      <c r="O25" s="22">
        <f t="shared" si="47"/>
        <v>2</v>
      </c>
      <c r="P25" s="23"/>
      <c r="Q25" s="22"/>
      <c r="R25" s="22">
        <f t="shared" si="48"/>
        <v>2</v>
      </c>
      <c r="S25" s="23"/>
      <c r="T25" s="22"/>
      <c r="U25" s="22">
        <f t="shared" si="49"/>
        <v>2</v>
      </c>
      <c r="V25" s="23"/>
      <c r="W25" s="22"/>
      <c r="X25" s="22">
        <f t="shared" si="50"/>
        <v>2</v>
      </c>
      <c r="Y25" s="23"/>
      <c r="Z25" s="21">
        <v>1.0</v>
      </c>
      <c r="AA25" s="22">
        <f t="shared" si="51"/>
        <v>1</v>
      </c>
      <c r="AB25" s="23"/>
      <c r="AC25" s="21">
        <v>1.0</v>
      </c>
      <c r="AD25" s="22">
        <f t="shared" si="52"/>
        <v>0</v>
      </c>
      <c r="AE25" s="23"/>
      <c r="AF25" s="22"/>
      <c r="AG25" s="22">
        <f t="shared" si="53"/>
        <v>0</v>
      </c>
      <c r="AH25" s="23"/>
      <c r="AI25" s="22"/>
      <c r="AJ25" s="22">
        <f t="shared" si="54"/>
        <v>0</v>
      </c>
      <c r="AK25" s="23"/>
      <c r="AL25" s="22"/>
      <c r="AM25" s="22">
        <f t="shared" si="55"/>
        <v>0</v>
      </c>
      <c r="AN25" s="23"/>
      <c r="AO25" s="22"/>
      <c r="AP25" s="22">
        <f t="shared" si="56"/>
        <v>0</v>
      </c>
      <c r="AQ25" s="23"/>
      <c r="AR25" s="22"/>
      <c r="AS25" s="22">
        <f t="shared" si="57"/>
        <v>0</v>
      </c>
      <c r="AT25" s="23"/>
      <c r="AU25" s="22"/>
      <c r="AV25" s="22">
        <f t="shared" si="58"/>
        <v>0</v>
      </c>
      <c r="AW25" s="23"/>
      <c r="AX25" s="22"/>
      <c r="AY25" s="22">
        <f t="shared" si="59"/>
        <v>0</v>
      </c>
      <c r="AZ25" s="23"/>
      <c r="BA25" s="22"/>
      <c r="BB25" s="22">
        <f t="shared" si="60"/>
        <v>0</v>
      </c>
      <c r="BC25" s="23"/>
      <c r="BD25" s="22"/>
      <c r="BE25" s="22">
        <f t="shared" si="61"/>
        <v>0</v>
      </c>
      <c r="BF25" s="23"/>
      <c r="BG25" s="22"/>
      <c r="BH25" s="22">
        <f t="shared" si="62"/>
        <v>0</v>
      </c>
      <c r="BI25" s="23"/>
      <c r="BJ25" s="22"/>
      <c r="BK25" s="22">
        <f t="shared" si="63"/>
        <v>0</v>
      </c>
      <c r="BL25" s="23"/>
      <c r="BM25" s="22"/>
      <c r="BN25" s="22">
        <f t="shared" si="64"/>
        <v>0</v>
      </c>
      <c r="BO25" s="23"/>
      <c r="BP25" s="24">
        <f t="shared" si="65"/>
        <v>2</v>
      </c>
      <c r="BQ25" s="24">
        <f t="shared" si="66"/>
        <v>0</v>
      </c>
    </row>
    <row r="26" ht="15.75" customHeight="1">
      <c r="A26" s="2"/>
      <c r="B26" s="31" t="s">
        <v>103</v>
      </c>
      <c r="C26" s="20" t="s">
        <v>104</v>
      </c>
      <c r="D26" s="20" t="s">
        <v>105</v>
      </c>
      <c r="E26" s="11"/>
      <c r="F26" s="11" t="s">
        <v>65</v>
      </c>
      <c r="G26" s="11">
        <v>4.0</v>
      </c>
      <c r="H26" s="22"/>
      <c r="I26" s="22">
        <f t="shared" si="45"/>
        <v>4</v>
      </c>
      <c r="J26" s="23"/>
      <c r="K26" s="22"/>
      <c r="L26" s="22">
        <f t="shared" si="46"/>
        <v>4</v>
      </c>
      <c r="M26" s="23"/>
      <c r="N26" s="21">
        <v>1.0</v>
      </c>
      <c r="O26" s="22">
        <f t="shared" si="47"/>
        <v>3</v>
      </c>
      <c r="P26" s="23"/>
      <c r="Q26" s="22"/>
      <c r="R26" s="22">
        <f t="shared" si="48"/>
        <v>3</v>
      </c>
      <c r="S26" s="23"/>
      <c r="T26" s="21">
        <v>1.0</v>
      </c>
      <c r="U26" s="22">
        <f t="shared" si="49"/>
        <v>2</v>
      </c>
      <c r="V26" s="23"/>
      <c r="W26" s="22"/>
      <c r="X26" s="22">
        <f t="shared" si="50"/>
        <v>2</v>
      </c>
      <c r="Y26" s="23"/>
      <c r="Z26" s="22"/>
      <c r="AA26" s="22">
        <f t="shared" si="51"/>
        <v>2</v>
      </c>
      <c r="AB26" s="23"/>
      <c r="AC26" s="21">
        <v>1.0</v>
      </c>
      <c r="AD26" s="22">
        <f t="shared" si="52"/>
        <v>1</v>
      </c>
      <c r="AE26" s="23"/>
      <c r="AF26" s="22"/>
      <c r="AG26" s="22">
        <f t="shared" si="53"/>
        <v>1</v>
      </c>
      <c r="AH26" s="23"/>
      <c r="AI26" s="21">
        <v>1.0</v>
      </c>
      <c r="AJ26" s="22">
        <f t="shared" si="54"/>
        <v>0</v>
      </c>
      <c r="AK26" s="23"/>
      <c r="AL26" s="22"/>
      <c r="AM26" s="22">
        <f t="shared" si="55"/>
        <v>0</v>
      </c>
      <c r="AN26" s="23"/>
      <c r="AO26" s="22"/>
      <c r="AP26" s="22">
        <f t="shared" si="56"/>
        <v>0</v>
      </c>
      <c r="AQ26" s="23"/>
      <c r="AR26" s="22"/>
      <c r="AS26" s="22">
        <f t="shared" si="57"/>
        <v>0</v>
      </c>
      <c r="AT26" s="23"/>
      <c r="AU26" s="22"/>
      <c r="AV26" s="22">
        <f t="shared" si="58"/>
        <v>0</v>
      </c>
      <c r="AW26" s="23"/>
      <c r="AX26" s="22"/>
      <c r="AY26" s="22">
        <f t="shared" si="59"/>
        <v>0</v>
      </c>
      <c r="AZ26" s="23"/>
      <c r="BA26" s="22"/>
      <c r="BB26" s="22">
        <f t="shared" si="60"/>
        <v>0</v>
      </c>
      <c r="BC26" s="23"/>
      <c r="BD26" s="22"/>
      <c r="BE26" s="22">
        <f t="shared" si="61"/>
        <v>0</v>
      </c>
      <c r="BF26" s="23"/>
      <c r="BG26" s="22"/>
      <c r="BH26" s="22">
        <f t="shared" si="62"/>
        <v>0</v>
      </c>
      <c r="BI26" s="23"/>
      <c r="BJ26" s="22"/>
      <c r="BK26" s="22">
        <f t="shared" si="63"/>
        <v>0</v>
      </c>
      <c r="BL26" s="23"/>
      <c r="BM26" s="22"/>
      <c r="BN26" s="22">
        <f t="shared" si="64"/>
        <v>0</v>
      </c>
      <c r="BO26" s="23"/>
      <c r="BP26" s="24">
        <f t="shared" si="65"/>
        <v>4</v>
      </c>
      <c r="BQ26" s="24">
        <f t="shared" si="66"/>
        <v>0</v>
      </c>
    </row>
    <row r="27" ht="15.75" customHeight="1">
      <c r="A27" s="2"/>
      <c r="B27" s="31" t="s">
        <v>106</v>
      </c>
      <c r="C27" s="20" t="s">
        <v>107</v>
      </c>
      <c r="D27" s="20" t="s">
        <v>108</v>
      </c>
      <c r="E27" s="11" t="s">
        <v>73</v>
      </c>
      <c r="F27" s="11" t="s">
        <v>65</v>
      </c>
      <c r="G27" s="11">
        <v>2.0</v>
      </c>
      <c r="H27" s="22"/>
      <c r="I27" s="22">
        <f t="shared" si="45"/>
        <v>2</v>
      </c>
      <c r="J27" s="23"/>
      <c r="K27" s="22"/>
      <c r="L27" s="22">
        <f t="shared" si="46"/>
        <v>2</v>
      </c>
      <c r="M27" s="23"/>
      <c r="N27" s="22"/>
      <c r="O27" s="22">
        <f t="shared" si="47"/>
        <v>2</v>
      </c>
      <c r="P27" s="23"/>
      <c r="Q27" s="22"/>
      <c r="R27" s="22">
        <f t="shared" si="48"/>
        <v>2</v>
      </c>
      <c r="S27" s="23"/>
      <c r="T27" s="22"/>
      <c r="U27" s="22">
        <f t="shared" si="49"/>
        <v>2</v>
      </c>
      <c r="V27" s="23"/>
      <c r="W27" s="22"/>
      <c r="X27" s="22">
        <f t="shared" si="50"/>
        <v>2</v>
      </c>
      <c r="Y27" s="23"/>
      <c r="Z27" s="22"/>
      <c r="AA27" s="22">
        <f t="shared" si="51"/>
        <v>2</v>
      </c>
      <c r="AB27" s="23"/>
      <c r="AC27" s="21">
        <v>2.0</v>
      </c>
      <c r="AD27" s="22">
        <f t="shared" si="52"/>
        <v>0</v>
      </c>
      <c r="AE27" s="23"/>
      <c r="AF27" s="22"/>
      <c r="AG27" s="22">
        <f t="shared" si="53"/>
        <v>0</v>
      </c>
      <c r="AH27" s="23"/>
      <c r="AI27" s="22"/>
      <c r="AJ27" s="22">
        <f t="shared" si="54"/>
        <v>0</v>
      </c>
      <c r="AK27" s="23"/>
      <c r="AL27" s="22"/>
      <c r="AM27" s="22">
        <f t="shared" si="55"/>
        <v>0</v>
      </c>
      <c r="AN27" s="23"/>
      <c r="AO27" s="22"/>
      <c r="AP27" s="22">
        <f t="shared" si="56"/>
        <v>0</v>
      </c>
      <c r="AQ27" s="23"/>
      <c r="AR27" s="22"/>
      <c r="AS27" s="22">
        <f t="shared" si="57"/>
        <v>0</v>
      </c>
      <c r="AT27" s="23"/>
      <c r="AU27" s="22"/>
      <c r="AV27" s="22">
        <f t="shared" si="58"/>
        <v>0</v>
      </c>
      <c r="AW27" s="23"/>
      <c r="AX27" s="22"/>
      <c r="AY27" s="22">
        <f t="shared" si="59"/>
        <v>0</v>
      </c>
      <c r="AZ27" s="23"/>
      <c r="BA27" s="22"/>
      <c r="BB27" s="22">
        <f t="shared" si="60"/>
        <v>0</v>
      </c>
      <c r="BC27" s="23"/>
      <c r="BD27" s="22"/>
      <c r="BE27" s="22">
        <f t="shared" si="61"/>
        <v>0</v>
      </c>
      <c r="BF27" s="23"/>
      <c r="BG27" s="22"/>
      <c r="BH27" s="22">
        <f t="shared" si="62"/>
        <v>0</v>
      </c>
      <c r="BI27" s="23"/>
      <c r="BJ27" s="22"/>
      <c r="BK27" s="22">
        <f t="shared" si="63"/>
        <v>0</v>
      </c>
      <c r="BL27" s="23"/>
      <c r="BM27" s="22"/>
      <c r="BN27" s="22">
        <f t="shared" si="64"/>
        <v>0</v>
      </c>
      <c r="BO27" s="23"/>
      <c r="BP27" s="24">
        <f t="shared" si="65"/>
        <v>2</v>
      </c>
      <c r="BQ27" s="24">
        <f t="shared" si="66"/>
        <v>0</v>
      </c>
    </row>
    <row r="28" ht="15.75" customHeight="1">
      <c r="A28" s="2"/>
      <c r="B28" s="31"/>
      <c r="C28" s="20"/>
      <c r="D28" s="20" t="s">
        <v>109</v>
      </c>
      <c r="E28" s="11" t="s">
        <v>73</v>
      </c>
      <c r="F28" s="11" t="s">
        <v>65</v>
      </c>
      <c r="G28" s="11">
        <v>5.0</v>
      </c>
      <c r="H28" s="22"/>
      <c r="I28" s="22">
        <f t="shared" si="45"/>
        <v>5</v>
      </c>
      <c r="J28" s="23"/>
      <c r="K28" s="22"/>
      <c r="L28" s="22">
        <f t="shared" si="46"/>
        <v>5</v>
      </c>
      <c r="M28" s="23"/>
      <c r="N28" s="22"/>
      <c r="O28" s="22">
        <f t="shared" si="47"/>
        <v>5</v>
      </c>
      <c r="P28" s="23"/>
      <c r="Q28" s="22"/>
      <c r="R28" s="22">
        <f t="shared" si="48"/>
        <v>5</v>
      </c>
      <c r="S28" s="23"/>
      <c r="T28" s="22"/>
      <c r="U28" s="22">
        <f t="shared" si="49"/>
        <v>5</v>
      </c>
      <c r="V28" s="23"/>
      <c r="W28" s="22"/>
      <c r="X28" s="22">
        <f t="shared" si="50"/>
        <v>5</v>
      </c>
      <c r="Y28" s="23"/>
      <c r="Z28" s="22"/>
      <c r="AA28" s="22">
        <f t="shared" si="51"/>
        <v>5</v>
      </c>
      <c r="AB28" s="23"/>
      <c r="AC28" s="22"/>
      <c r="AD28" s="22">
        <f t="shared" si="52"/>
        <v>5</v>
      </c>
      <c r="AE28" s="23"/>
      <c r="AF28" s="21">
        <v>3.0</v>
      </c>
      <c r="AG28" s="22">
        <f t="shared" si="53"/>
        <v>2</v>
      </c>
      <c r="AH28" s="23"/>
      <c r="AI28" s="21">
        <v>2.0</v>
      </c>
      <c r="AJ28" s="22">
        <f t="shared" si="54"/>
        <v>0</v>
      </c>
      <c r="AK28" s="23"/>
      <c r="AL28" s="22"/>
      <c r="AM28" s="22">
        <f t="shared" si="55"/>
        <v>0</v>
      </c>
      <c r="AN28" s="23"/>
      <c r="AO28" s="22"/>
      <c r="AP28" s="22">
        <f t="shared" si="56"/>
        <v>0</v>
      </c>
      <c r="AQ28" s="23"/>
      <c r="AR28" s="22"/>
      <c r="AS28" s="22">
        <f t="shared" si="57"/>
        <v>0</v>
      </c>
      <c r="AT28" s="23"/>
      <c r="AU28" s="22"/>
      <c r="AV28" s="22">
        <f t="shared" si="58"/>
        <v>0</v>
      </c>
      <c r="AW28" s="23"/>
      <c r="AX28" s="22"/>
      <c r="AY28" s="22">
        <f t="shared" si="59"/>
        <v>0</v>
      </c>
      <c r="AZ28" s="23"/>
      <c r="BA28" s="22"/>
      <c r="BB28" s="22">
        <f t="shared" si="60"/>
        <v>0</v>
      </c>
      <c r="BC28" s="23"/>
      <c r="BD28" s="22"/>
      <c r="BE28" s="22">
        <f t="shared" si="61"/>
        <v>0</v>
      </c>
      <c r="BF28" s="23"/>
      <c r="BG28" s="22"/>
      <c r="BH28" s="22">
        <f t="shared" si="62"/>
        <v>0</v>
      </c>
      <c r="BI28" s="23"/>
      <c r="BJ28" s="22"/>
      <c r="BK28" s="22">
        <f t="shared" si="63"/>
        <v>0</v>
      </c>
      <c r="BL28" s="23"/>
      <c r="BM28" s="22"/>
      <c r="BN28" s="22">
        <f t="shared" si="64"/>
        <v>0</v>
      </c>
      <c r="BO28" s="23"/>
      <c r="BP28" s="24">
        <f t="shared" si="65"/>
        <v>5</v>
      </c>
      <c r="BQ28" s="24">
        <f t="shared" si="66"/>
        <v>0</v>
      </c>
    </row>
    <row r="29" ht="15.75" customHeight="1">
      <c r="A29" s="2"/>
      <c r="B29" s="32"/>
      <c r="C29" s="20"/>
      <c r="D29" s="20" t="s">
        <v>110</v>
      </c>
      <c r="E29" s="11" t="s">
        <v>73</v>
      </c>
      <c r="F29" s="11" t="s">
        <v>65</v>
      </c>
      <c r="G29" s="11">
        <v>1.0</v>
      </c>
      <c r="H29" s="22"/>
      <c r="I29" s="22">
        <f t="shared" si="45"/>
        <v>1</v>
      </c>
      <c r="J29" s="23"/>
      <c r="K29" s="22"/>
      <c r="L29" s="22">
        <f t="shared" si="46"/>
        <v>1</v>
      </c>
      <c r="M29" s="23"/>
      <c r="N29" s="22"/>
      <c r="O29" s="22">
        <f t="shared" si="47"/>
        <v>1</v>
      </c>
      <c r="P29" s="23"/>
      <c r="Q29" s="22"/>
      <c r="R29" s="22">
        <f t="shared" si="48"/>
        <v>1</v>
      </c>
      <c r="S29" s="23"/>
      <c r="T29" s="22"/>
      <c r="U29" s="22">
        <f t="shared" si="49"/>
        <v>1</v>
      </c>
      <c r="V29" s="23"/>
      <c r="W29" s="22"/>
      <c r="X29" s="22">
        <f t="shared" si="50"/>
        <v>1</v>
      </c>
      <c r="Y29" s="23"/>
      <c r="Z29" s="22"/>
      <c r="AA29" s="22">
        <f t="shared" si="51"/>
        <v>1</v>
      </c>
      <c r="AB29" s="23"/>
      <c r="AC29" s="22"/>
      <c r="AD29" s="22">
        <f t="shared" si="52"/>
        <v>1</v>
      </c>
      <c r="AE29" s="23"/>
      <c r="AF29" s="22"/>
      <c r="AG29" s="22">
        <f t="shared" si="53"/>
        <v>1</v>
      </c>
      <c r="AH29" s="23"/>
      <c r="AI29" s="21">
        <v>1.0</v>
      </c>
      <c r="AJ29" s="22">
        <f t="shared" si="54"/>
        <v>0</v>
      </c>
      <c r="AK29" s="23"/>
      <c r="AL29" s="22"/>
      <c r="AM29" s="22">
        <f t="shared" si="55"/>
        <v>0</v>
      </c>
      <c r="AN29" s="23"/>
      <c r="AO29" s="22"/>
      <c r="AP29" s="22">
        <f t="shared" si="56"/>
        <v>0</v>
      </c>
      <c r="AQ29" s="23"/>
      <c r="AR29" s="22"/>
      <c r="AS29" s="22">
        <f t="shared" si="57"/>
        <v>0</v>
      </c>
      <c r="AT29" s="23"/>
      <c r="AU29" s="22"/>
      <c r="AV29" s="22">
        <f t="shared" si="58"/>
        <v>0</v>
      </c>
      <c r="AW29" s="23"/>
      <c r="AX29" s="22"/>
      <c r="AY29" s="22">
        <f t="shared" si="59"/>
        <v>0</v>
      </c>
      <c r="AZ29" s="23"/>
      <c r="BA29" s="22"/>
      <c r="BB29" s="22">
        <f t="shared" si="60"/>
        <v>0</v>
      </c>
      <c r="BC29" s="23"/>
      <c r="BD29" s="22"/>
      <c r="BE29" s="22">
        <f t="shared" si="61"/>
        <v>0</v>
      </c>
      <c r="BF29" s="23"/>
      <c r="BG29" s="22"/>
      <c r="BH29" s="22">
        <f t="shared" si="62"/>
        <v>0</v>
      </c>
      <c r="BI29" s="23"/>
      <c r="BJ29" s="22"/>
      <c r="BK29" s="22">
        <f t="shared" si="63"/>
        <v>0</v>
      </c>
      <c r="BL29" s="23"/>
      <c r="BM29" s="22"/>
      <c r="BN29" s="22">
        <f t="shared" si="64"/>
        <v>0</v>
      </c>
      <c r="BO29" s="23"/>
      <c r="BP29" s="24">
        <f t="shared" si="65"/>
        <v>1</v>
      </c>
      <c r="BQ29" s="24">
        <f t="shared" si="66"/>
        <v>0</v>
      </c>
    </row>
    <row r="30" ht="15.75" customHeight="1">
      <c r="A30" s="2"/>
      <c r="B30" s="29"/>
      <c r="C30" s="29"/>
      <c r="D30" s="29"/>
      <c r="E30" s="28"/>
      <c r="F30" s="28"/>
      <c r="G30" s="28"/>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c r="BM30" s="30"/>
      <c r="BN30" s="30"/>
      <c r="BO30" s="30"/>
      <c r="BP30" s="30"/>
      <c r="BQ30" s="30"/>
    </row>
    <row r="31" ht="15.75" customHeight="1">
      <c r="A31" s="2"/>
      <c r="B31" s="33" t="s">
        <v>111</v>
      </c>
      <c r="C31" s="20" t="s">
        <v>112</v>
      </c>
      <c r="D31" s="20" t="s">
        <v>113</v>
      </c>
      <c r="E31" s="11" t="s">
        <v>73</v>
      </c>
      <c r="F31" s="11" t="s">
        <v>65</v>
      </c>
      <c r="G31" s="11">
        <v>8.0</v>
      </c>
      <c r="H31" s="21">
        <v>2.0</v>
      </c>
      <c r="I31" s="22">
        <f t="shared" ref="I31:I74" si="67">G31-H31</f>
        <v>6</v>
      </c>
      <c r="J31" s="23"/>
      <c r="K31" s="21">
        <v>2.0</v>
      </c>
      <c r="L31" s="22">
        <f t="shared" ref="L31:L74" si="68">I31-K31</f>
        <v>4</v>
      </c>
      <c r="M31" s="23"/>
      <c r="N31" s="21">
        <v>2.0</v>
      </c>
      <c r="O31" s="22">
        <f t="shared" ref="O31:O74" si="69">L31-N31</f>
        <v>2</v>
      </c>
      <c r="P31" s="23"/>
      <c r="Q31" s="21">
        <v>2.0</v>
      </c>
      <c r="R31" s="22">
        <f t="shared" ref="R31:R74" si="70">O31-Q31</f>
        <v>0</v>
      </c>
      <c r="S31" s="23"/>
      <c r="T31" s="22"/>
      <c r="U31" s="22">
        <f t="shared" ref="U31:U74" si="71">R31-T31</f>
        <v>0</v>
      </c>
      <c r="V31" s="23"/>
      <c r="W31" s="22"/>
      <c r="X31" s="22">
        <f t="shared" ref="X31:X74" si="72">U31-W31</f>
        <v>0</v>
      </c>
      <c r="Y31" s="23"/>
      <c r="Z31" s="22"/>
      <c r="AA31" s="22">
        <f t="shared" ref="AA31:AA74" si="73">X31-Z31</f>
        <v>0</v>
      </c>
      <c r="AB31" s="23"/>
      <c r="AC31" s="22"/>
      <c r="AD31" s="22">
        <f t="shared" ref="AD31:AD74" si="74">AA31-AC31</f>
        <v>0</v>
      </c>
      <c r="AE31" s="23"/>
      <c r="AF31" s="22"/>
      <c r="AG31" s="22">
        <f t="shared" ref="AG31:AG74" si="75">AD31-AF31</f>
        <v>0</v>
      </c>
      <c r="AH31" s="23"/>
      <c r="AI31" s="22"/>
      <c r="AJ31" s="22">
        <f t="shared" ref="AJ31:AJ74" si="76">AG31-AI31</f>
        <v>0</v>
      </c>
      <c r="AK31" s="23"/>
      <c r="AL31" s="22"/>
      <c r="AM31" s="22">
        <f t="shared" ref="AM31:AM74" si="77">AJ31-AL31</f>
        <v>0</v>
      </c>
      <c r="AN31" s="23"/>
      <c r="AO31" s="22"/>
      <c r="AP31" s="22">
        <f t="shared" ref="AP31:AP74" si="78">AM31-AO31</f>
        <v>0</v>
      </c>
      <c r="AQ31" s="23"/>
      <c r="AR31" s="22"/>
      <c r="AS31" s="22">
        <f t="shared" ref="AS31:AS74" si="79">AP31-AR31</f>
        <v>0</v>
      </c>
      <c r="AT31" s="23"/>
      <c r="AU31" s="22"/>
      <c r="AV31" s="22">
        <f t="shared" ref="AV31:AV74" si="80">AS31-AU31</f>
        <v>0</v>
      </c>
      <c r="AW31" s="23"/>
      <c r="AX31" s="22"/>
      <c r="AY31" s="22">
        <f t="shared" ref="AY31:AY74" si="81">AV31-AX31</f>
        <v>0</v>
      </c>
      <c r="AZ31" s="23"/>
      <c r="BA31" s="22"/>
      <c r="BB31" s="22">
        <f t="shared" ref="BB31:BB74" si="82">AY31-BA31</f>
        <v>0</v>
      </c>
      <c r="BC31" s="23"/>
      <c r="BD31" s="22"/>
      <c r="BE31" s="22">
        <f t="shared" ref="BE31:BE74" si="83">BB31-BD31</f>
        <v>0</v>
      </c>
      <c r="BF31" s="23"/>
      <c r="BG31" s="22"/>
      <c r="BH31" s="22">
        <f t="shared" ref="BH31:BH74" si="84">BE31-BG31</f>
        <v>0</v>
      </c>
      <c r="BI31" s="23"/>
      <c r="BJ31" s="22"/>
      <c r="BK31" s="22">
        <f t="shared" ref="BK31:BK74" si="85">BH31-BJ31</f>
        <v>0</v>
      </c>
      <c r="BL31" s="23"/>
      <c r="BM31" s="22"/>
      <c r="BN31" s="22">
        <f t="shared" ref="BN31:BN74" si="86">BK31-BM31</f>
        <v>0</v>
      </c>
      <c r="BO31" s="23"/>
      <c r="BP31" s="24">
        <f t="shared" ref="BP31:BP74" si="87">H31+K31+N31+Q31+T31+W31+Z31+AC31+AF31+AI31+AL31+AO31+AR31+AU31+AX31+BA31+BD31+BG31+BJ31+BM31</f>
        <v>8</v>
      </c>
      <c r="BQ31" s="24">
        <f t="shared" ref="BQ31:BQ74" si="88">G31-BP31</f>
        <v>0</v>
      </c>
    </row>
    <row r="32" ht="15.75" customHeight="1">
      <c r="A32" s="2"/>
      <c r="B32" s="31"/>
      <c r="C32" s="20"/>
      <c r="D32" s="20" t="s">
        <v>114</v>
      </c>
      <c r="E32" s="11" t="s">
        <v>115</v>
      </c>
      <c r="F32" s="11" t="s">
        <v>65</v>
      </c>
      <c r="G32" s="11">
        <v>8.0</v>
      </c>
      <c r="H32" s="21">
        <v>2.0</v>
      </c>
      <c r="I32" s="22">
        <f t="shared" si="67"/>
        <v>6</v>
      </c>
      <c r="J32" s="23"/>
      <c r="K32" s="21">
        <v>2.0</v>
      </c>
      <c r="L32" s="22">
        <f t="shared" si="68"/>
        <v>4</v>
      </c>
      <c r="M32" s="23"/>
      <c r="N32" s="21">
        <v>2.0</v>
      </c>
      <c r="O32" s="22">
        <f t="shared" si="69"/>
        <v>2</v>
      </c>
      <c r="P32" s="23"/>
      <c r="Q32" s="21">
        <v>2.0</v>
      </c>
      <c r="R32" s="22">
        <f t="shared" si="70"/>
        <v>0</v>
      </c>
      <c r="S32" s="23"/>
      <c r="T32" s="22"/>
      <c r="U32" s="22">
        <f t="shared" si="71"/>
        <v>0</v>
      </c>
      <c r="V32" s="23"/>
      <c r="W32" s="22"/>
      <c r="X32" s="22">
        <f t="shared" si="72"/>
        <v>0</v>
      </c>
      <c r="Y32" s="23"/>
      <c r="Z32" s="22"/>
      <c r="AA32" s="22">
        <f t="shared" si="73"/>
        <v>0</v>
      </c>
      <c r="AB32" s="23"/>
      <c r="AC32" s="22"/>
      <c r="AD32" s="22">
        <f t="shared" si="74"/>
        <v>0</v>
      </c>
      <c r="AE32" s="23"/>
      <c r="AF32" s="22"/>
      <c r="AG32" s="22">
        <f t="shared" si="75"/>
        <v>0</v>
      </c>
      <c r="AH32" s="23"/>
      <c r="AI32" s="22"/>
      <c r="AJ32" s="22">
        <f t="shared" si="76"/>
        <v>0</v>
      </c>
      <c r="AK32" s="23"/>
      <c r="AL32" s="22"/>
      <c r="AM32" s="22">
        <f t="shared" si="77"/>
        <v>0</v>
      </c>
      <c r="AN32" s="23"/>
      <c r="AO32" s="22"/>
      <c r="AP32" s="22">
        <f t="shared" si="78"/>
        <v>0</v>
      </c>
      <c r="AQ32" s="23"/>
      <c r="AR32" s="22"/>
      <c r="AS32" s="22">
        <f t="shared" si="79"/>
        <v>0</v>
      </c>
      <c r="AT32" s="23"/>
      <c r="AU32" s="22"/>
      <c r="AV32" s="22">
        <f t="shared" si="80"/>
        <v>0</v>
      </c>
      <c r="AW32" s="23"/>
      <c r="AX32" s="22"/>
      <c r="AY32" s="22">
        <f t="shared" si="81"/>
        <v>0</v>
      </c>
      <c r="AZ32" s="23"/>
      <c r="BA32" s="22"/>
      <c r="BB32" s="22">
        <f t="shared" si="82"/>
        <v>0</v>
      </c>
      <c r="BC32" s="23"/>
      <c r="BD32" s="22"/>
      <c r="BE32" s="22">
        <f t="shared" si="83"/>
        <v>0</v>
      </c>
      <c r="BF32" s="23"/>
      <c r="BG32" s="22"/>
      <c r="BH32" s="22">
        <f t="shared" si="84"/>
        <v>0</v>
      </c>
      <c r="BI32" s="23"/>
      <c r="BJ32" s="22"/>
      <c r="BK32" s="22">
        <f t="shared" si="85"/>
        <v>0</v>
      </c>
      <c r="BL32" s="23"/>
      <c r="BM32" s="22"/>
      <c r="BN32" s="22">
        <f t="shared" si="86"/>
        <v>0</v>
      </c>
      <c r="BO32" s="23"/>
      <c r="BP32" s="24">
        <f t="shared" si="87"/>
        <v>8</v>
      </c>
      <c r="BQ32" s="24">
        <f t="shared" si="88"/>
        <v>0</v>
      </c>
    </row>
    <row r="33" ht="15.75" customHeight="1">
      <c r="A33" s="2"/>
      <c r="B33" s="31" t="s">
        <v>116</v>
      </c>
      <c r="C33" s="20" t="s">
        <v>117</v>
      </c>
      <c r="D33" s="20" t="s">
        <v>118</v>
      </c>
      <c r="E33" s="11" t="s">
        <v>73</v>
      </c>
      <c r="F33" s="11" t="s">
        <v>65</v>
      </c>
      <c r="G33" s="11">
        <v>4.0</v>
      </c>
      <c r="H33" s="22"/>
      <c r="I33" s="22">
        <f t="shared" si="67"/>
        <v>4</v>
      </c>
      <c r="J33" s="23"/>
      <c r="K33" s="22"/>
      <c r="L33" s="22">
        <f t="shared" si="68"/>
        <v>4</v>
      </c>
      <c r="M33" s="23"/>
      <c r="N33" s="22"/>
      <c r="O33" s="22">
        <f t="shared" si="69"/>
        <v>4</v>
      </c>
      <c r="P33" s="23"/>
      <c r="Q33" s="21">
        <v>1.0</v>
      </c>
      <c r="R33" s="22">
        <f t="shared" si="70"/>
        <v>3</v>
      </c>
      <c r="S33" s="23"/>
      <c r="T33" s="21">
        <v>2.0</v>
      </c>
      <c r="U33" s="22">
        <f t="shared" si="71"/>
        <v>1</v>
      </c>
      <c r="V33" s="23"/>
      <c r="W33" s="21">
        <v>1.0</v>
      </c>
      <c r="X33" s="22">
        <f t="shared" si="72"/>
        <v>0</v>
      </c>
      <c r="Y33" s="23"/>
      <c r="Z33" s="22"/>
      <c r="AA33" s="22">
        <f t="shared" si="73"/>
        <v>0</v>
      </c>
      <c r="AB33" s="23"/>
      <c r="AC33" s="22"/>
      <c r="AD33" s="22">
        <f t="shared" si="74"/>
        <v>0</v>
      </c>
      <c r="AE33" s="23"/>
      <c r="AF33" s="22"/>
      <c r="AG33" s="22">
        <f t="shared" si="75"/>
        <v>0</v>
      </c>
      <c r="AH33" s="23"/>
      <c r="AI33" s="22"/>
      <c r="AJ33" s="22">
        <f t="shared" si="76"/>
        <v>0</v>
      </c>
      <c r="AK33" s="23"/>
      <c r="AL33" s="22"/>
      <c r="AM33" s="22">
        <f t="shared" si="77"/>
        <v>0</v>
      </c>
      <c r="AN33" s="23"/>
      <c r="AO33" s="22"/>
      <c r="AP33" s="22">
        <f t="shared" si="78"/>
        <v>0</v>
      </c>
      <c r="AQ33" s="23"/>
      <c r="AR33" s="22"/>
      <c r="AS33" s="22">
        <f t="shared" si="79"/>
        <v>0</v>
      </c>
      <c r="AT33" s="23"/>
      <c r="AU33" s="22"/>
      <c r="AV33" s="22">
        <f t="shared" si="80"/>
        <v>0</v>
      </c>
      <c r="AW33" s="23"/>
      <c r="AX33" s="22"/>
      <c r="AY33" s="22">
        <f t="shared" si="81"/>
        <v>0</v>
      </c>
      <c r="AZ33" s="23"/>
      <c r="BA33" s="22"/>
      <c r="BB33" s="22">
        <f t="shared" si="82"/>
        <v>0</v>
      </c>
      <c r="BC33" s="23"/>
      <c r="BD33" s="22"/>
      <c r="BE33" s="22">
        <f t="shared" si="83"/>
        <v>0</v>
      </c>
      <c r="BF33" s="23"/>
      <c r="BG33" s="22"/>
      <c r="BH33" s="22">
        <f t="shared" si="84"/>
        <v>0</v>
      </c>
      <c r="BI33" s="23"/>
      <c r="BJ33" s="22"/>
      <c r="BK33" s="22">
        <f t="shared" si="85"/>
        <v>0</v>
      </c>
      <c r="BL33" s="23"/>
      <c r="BM33" s="22"/>
      <c r="BN33" s="22">
        <f t="shared" si="86"/>
        <v>0</v>
      </c>
      <c r="BO33" s="23"/>
      <c r="BP33" s="24">
        <f t="shared" si="87"/>
        <v>4</v>
      </c>
      <c r="BQ33" s="24">
        <f t="shared" si="88"/>
        <v>0</v>
      </c>
    </row>
    <row r="34" ht="15.75" customHeight="1">
      <c r="A34" s="2"/>
      <c r="B34" s="31" t="s">
        <v>119</v>
      </c>
      <c r="C34" s="20" t="s">
        <v>120</v>
      </c>
      <c r="D34" s="20" t="s">
        <v>121</v>
      </c>
      <c r="E34" s="11" t="s">
        <v>64</v>
      </c>
      <c r="F34" s="11" t="s">
        <v>65</v>
      </c>
      <c r="G34" s="11">
        <v>4.0</v>
      </c>
      <c r="H34" s="22"/>
      <c r="I34" s="22">
        <f t="shared" si="67"/>
        <v>4</v>
      </c>
      <c r="J34" s="23"/>
      <c r="K34" s="22"/>
      <c r="L34" s="22">
        <f t="shared" si="68"/>
        <v>4</v>
      </c>
      <c r="M34" s="23"/>
      <c r="N34" s="22"/>
      <c r="O34" s="22">
        <f t="shared" si="69"/>
        <v>4</v>
      </c>
      <c r="P34" s="23"/>
      <c r="Q34" s="22"/>
      <c r="R34" s="22">
        <f t="shared" si="70"/>
        <v>4</v>
      </c>
      <c r="S34" s="23"/>
      <c r="T34" s="21">
        <v>2.0</v>
      </c>
      <c r="U34" s="22">
        <f t="shared" si="71"/>
        <v>2</v>
      </c>
      <c r="V34" s="23"/>
      <c r="W34" s="21">
        <v>1.0</v>
      </c>
      <c r="X34" s="22">
        <f t="shared" si="72"/>
        <v>1</v>
      </c>
      <c r="Y34" s="23"/>
      <c r="Z34" s="21">
        <v>1.0</v>
      </c>
      <c r="AA34" s="22">
        <f t="shared" si="73"/>
        <v>0</v>
      </c>
      <c r="AB34" s="23"/>
      <c r="AC34" s="22"/>
      <c r="AD34" s="22">
        <f t="shared" si="74"/>
        <v>0</v>
      </c>
      <c r="AE34" s="23"/>
      <c r="AF34" s="22"/>
      <c r="AG34" s="22">
        <f t="shared" si="75"/>
        <v>0</v>
      </c>
      <c r="AH34" s="23"/>
      <c r="AI34" s="22"/>
      <c r="AJ34" s="22">
        <f t="shared" si="76"/>
        <v>0</v>
      </c>
      <c r="AK34" s="23"/>
      <c r="AL34" s="22"/>
      <c r="AM34" s="22">
        <f t="shared" si="77"/>
        <v>0</v>
      </c>
      <c r="AN34" s="23"/>
      <c r="AO34" s="22"/>
      <c r="AP34" s="22">
        <f t="shared" si="78"/>
        <v>0</v>
      </c>
      <c r="AQ34" s="23"/>
      <c r="AR34" s="22"/>
      <c r="AS34" s="22">
        <f t="shared" si="79"/>
        <v>0</v>
      </c>
      <c r="AT34" s="23"/>
      <c r="AU34" s="22"/>
      <c r="AV34" s="22">
        <f t="shared" si="80"/>
        <v>0</v>
      </c>
      <c r="AW34" s="23"/>
      <c r="AX34" s="22"/>
      <c r="AY34" s="22">
        <f t="shared" si="81"/>
        <v>0</v>
      </c>
      <c r="AZ34" s="23"/>
      <c r="BA34" s="22"/>
      <c r="BB34" s="22">
        <f t="shared" si="82"/>
        <v>0</v>
      </c>
      <c r="BC34" s="23"/>
      <c r="BD34" s="22"/>
      <c r="BE34" s="22">
        <f t="shared" si="83"/>
        <v>0</v>
      </c>
      <c r="BF34" s="23"/>
      <c r="BG34" s="22"/>
      <c r="BH34" s="22">
        <f t="shared" si="84"/>
        <v>0</v>
      </c>
      <c r="BI34" s="23"/>
      <c r="BJ34" s="22"/>
      <c r="BK34" s="22">
        <f t="shared" si="85"/>
        <v>0</v>
      </c>
      <c r="BL34" s="23"/>
      <c r="BM34" s="22"/>
      <c r="BN34" s="22">
        <f t="shared" si="86"/>
        <v>0</v>
      </c>
      <c r="BO34" s="23"/>
      <c r="BP34" s="24">
        <f t="shared" si="87"/>
        <v>4</v>
      </c>
      <c r="BQ34" s="24">
        <f t="shared" si="88"/>
        <v>0</v>
      </c>
    </row>
    <row r="35" ht="15.75" customHeight="1">
      <c r="A35" s="2"/>
      <c r="B35" s="31" t="s">
        <v>122</v>
      </c>
      <c r="C35" s="20" t="s">
        <v>123</v>
      </c>
      <c r="D35" s="20" t="s">
        <v>124</v>
      </c>
      <c r="E35" s="11" t="s">
        <v>64</v>
      </c>
      <c r="F35" s="11" t="s">
        <v>65</v>
      </c>
      <c r="G35" s="11">
        <v>4.0</v>
      </c>
      <c r="H35" s="22"/>
      <c r="I35" s="22">
        <f t="shared" si="67"/>
        <v>4</v>
      </c>
      <c r="J35" s="23"/>
      <c r="K35" s="22"/>
      <c r="L35" s="22">
        <f t="shared" si="68"/>
        <v>4</v>
      </c>
      <c r="M35" s="23"/>
      <c r="N35" s="22"/>
      <c r="O35" s="22">
        <f t="shared" si="69"/>
        <v>4</v>
      </c>
      <c r="P35" s="23"/>
      <c r="Q35" s="22"/>
      <c r="R35" s="22">
        <f t="shared" si="70"/>
        <v>4</v>
      </c>
      <c r="S35" s="23"/>
      <c r="T35" s="22"/>
      <c r="U35" s="22">
        <f t="shared" si="71"/>
        <v>4</v>
      </c>
      <c r="V35" s="23"/>
      <c r="W35" s="21">
        <v>2.0</v>
      </c>
      <c r="X35" s="22">
        <f t="shared" si="72"/>
        <v>2</v>
      </c>
      <c r="Y35" s="23"/>
      <c r="Z35" s="21">
        <v>2.0</v>
      </c>
      <c r="AA35" s="22">
        <f t="shared" si="73"/>
        <v>0</v>
      </c>
      <c r="AB35" s="23"/>
      <c r="AC35" s="22"/>
      <c r="AD35" s="22">
        <f t="shared" si="74"/>
        <v>0</v>
      </c>
      <c r="AE35" s="23"/>
      <c r="AF35" s="22"/>
      <c r="AG35" s="22">
        <f t="shared" si="75"/>
        <v>0</v>
      </c>
      <c r="AH35" s="23"/>
      <c r="AI35" s="22"/>
      <c r="AJ35" s="22">
        <f t="shared" si="76"/>
        <v>0</v>
      </c>
      <c r="AK35" s="23"/>
      <c r="AL35" s="22"/>
      <c r="AM35" s="22">
        <f t="shared" si="77"/>
        <v>0</v>
      </c>
      <c r="AN35" s="23"/>
      <c r="AO35" s="22"/>
      <c r="AP35" s="22">
        <f t="shared" si="78"/>
        <v>0</v>
      </c>
      <c r="AQ35" s="23"/>
      <c r="AR35" s="22"/>
      <c r="AS35" s="22">
        <f t="shared" si="79"/>
        <v>0</v>
      </c>
      <c r="AT35" s="23"/>
      <c r="AU35" s="22"/>
      <c r="AV35" s="22">
        <f t="shared" si="80"/>
        <v>0</v>
      </c>
      <c r="AW35" s="23"/>
      <c r="AX35" s="22"/>
      <c r="AY35" s="22">
        <f t="shared" si="81"/>
        <v>0</v>
      </c>
      <c r="AZ35" s="23"/>
      <c r="BA35" s="22"/>
      <c r="BB35" s="22">
        <f t="shared" si="82"/>
        <v>0</v>
      </c>
      <c r="BC35" s="23"/>
      <c r="BD35" s="22"/>
      <c r="BE35" s="22">
        <f t="shared" si="83"/>
        <v>0</v>
      </c>
      <c r="BF35" s="23"/>
      <c r="BG35" s="22"/>
      <c r="BH35" s="22">
        <f t="shared" si="84"/>
        <v>0</v>
      </c>
      <c r="BI35" s="23"/>
      <c r="BJ35" s="22"/>
      <c r="BK35" s="22">
        <f t="shared" si="85"/>
        <v>0</v>
      </c>
      <c r="BL35" s="23"/>
      <c r="BM35" s="22"/>
      <c r="BN35" s="22">
        <f t="shared" si="86"/>
        <v>0</v>
      </c>
      <c r="BO35" s="23"/>
      <c r="BP35" s="24">
        <f t="shared" si="87"/>
        <v>4</v>
      </c>
      <c r="BQ35" s="24">
        <f t="shared" si="88"/>
        <v>0</v>
      </c>
    </row>
    <row r="36" ht="15.75" customHeight="1">
      <c r="A36" s="2"/>
      <c r="B36" s="31" t="s">
        <v>125</v>
      </c>
      <c r="C36" s="20" t="s">
        <v>126</v>
      </c>
      <c r="D36" s="20" t="s">
        <v>127</v>
      </c>
      <c r="E36" s="11" t="s">
        <v>73</v>
      </c>
      <c r="F36" s="11" t="s">
        <v>65</v>
      </c>
      <c r="G36" s="11">
        <v>3.0</v>
      </c>
      <c r="H36" s="22"/>
      <c r="I36" s="22">
        <f t="shared" si="67"/>
        <v>3</v>
      </c>
      <c r="J36" s="23"/>
      <c r="K36" s="22"/>
      <c r="L36" s="22">
        <f t="shared" si="68"/>
        <v>3</v>
      </c>
      <c r="M36" s="23"/>
      <c r="N36" s="22"/>
      <c r="O36" s="22">
        <f t="shared" si="69"/>
        <v>3</v>
      </c>
      <c r="P36" s="23"/>
      <c r="Q36" s="22"/>
      <c r="R36" s="22">
        <f t="shared" si="70"/>
        <v>3</v>
      </c>
      <c r="S36" s="23"/>
      <c r="T36" s="22"/>
      <c r="U36" s="22">
        <f t="shared" si="71"/>
        <v>3</v>
      </c>
      <c r="V36" s="23"/>
      <c r="W36" s="22"/>
      <c r="X36" s="22">
        <f t="shared" si="72"/>
        <v>3</v>
      </c>
      <c r="Y36" s="23"/>
      <c r="Z36" s="22"/>
      <c r="AA36" s="22">
        <f t="shared" si="73"/>
        <v>3</v>
      </c>
      <c r="AB36" s="23"/>
      <c r="AC36" s="21">
        <v>2.0</v>
      </c>
      <c r="AD36" s="22">
        <f t="shared" si="74"/>
        <v>1</v>
      </c>
      <c r="AE36" s="23"/>
      <c r="AF36" s="21">
        <v>1.0</v>
      </c>
      <c r="AG36" s="22">
        <f t="shared" si="75"/>
        <v>0</v>
      </c>
      <c r="AH36" s="23"/>
      <c r="AI36" s="22"/>
      <c r="AJ36" s="22">
        <f t="shared" si="76"/>
        <v>0</v>
      </c>
      <c r="AK36" s="23"/>
      <c r="AL36" s="22"/>
      <c r="AM36" s="22">
        <f t="shared" si="77"/>
        <v>0</v>
      </c>
      <c r="AN36" s="23"/>
      <c r="AO36" s="22"/>
      <c r="AP36" s="22">
        <f t="shared" si="78"/>
        <v>0</v>
      </c>
      <c r="AQ36" s="23"/>
      <c r="AR36" s="22"/>
      <c r="AS36" s="22">
        <f t="shared" si="79"/>
        <v>0</v>
      </c>
      <c r="AT36" s="23"/>
      <c r="AU36" s="22"/>
      <c r="AV36" s="22">
        <f t="shared" si="80"/>
        <v>0</v>
      </c>
      <c r="AW36" s="23"/>
      <c r="AX36" s="22"/>
      <c r="AY36" s="22">
        <f t="shared" si="81"/>
        <v>0</v>
      </c>
      <c r="AZ36" s="23"/>
      <c r="BA36" s="22"/>
      <c r="BB36" s="22">
        <f t="shared" si="82"/>
        <v>0</v>
      </c>
      <c r="BC36" s="23"/>
      <c r="BD36" s="22"/>
      <c r="BE36" s="22">
        <f t="shared" si="83"/>
        <v>0</v>
      </c>
      <c r="BF36" s="23"/>
      <c r="BG36" s="22"/>
      <c r="BH36" s="22">
        <f t="shared" si="84"/>
        <v>0</v>
      </c>
      <c r="BI36" s="23"/>
      <c r="BJ36" s="22"/>
      <c r="BK36" s="22">
        <f t="shared" si="85"/>
        <v>0</v>
      </c>
      <c r="BL36" s="23"/>
      <c r="BM36" s="22"/>
      <c r="BN36" s="22">
        <f t="shared" si="86"/>
        <v>0</v>
      </c>
      <c r="BO36" s="23"/>
      <c r="BP36" s="24">
        <f t="shared" si="87"/>
        <v>3</v>
      </c>
      <c r="BQ36" s="24">
        <f t="shared" si="88"/>
        <v>0</v>
      </c>
    </row>
    <row r="37" ht="15.75" customHeight="1">
      <c r="A37" s="2"/>
      <c r="B37" s="31"/>
      <c r="C37" s="20"/>
      <c r="D37" s="20" t="s">
        <v>128</v>
      </c>
      <c r="E37" s="11" t="s">
        <v>115</v>
      </c>
      <c r="F37" s="11" t="s">
        <v>65</v>
      </c>
      <c r="G37" s="11">
        <v>3.0</v>
      </c>
      <c r="H37" s="22"/>
      <c r="I37" s="22">
        <f t="shared" si="67"/>
        <v>3</v>
      </c>
      <c r="J37" s="23"/>
      <c r="K37" s="22"/>
      <c r="L37" s="22">
        <f t="shared" si="68"/>
        <v>3</v>
      </c>
      <c r="M37" s="23"/>
      <c r="N37" s="22"/>
      <c r="O37" s="22">
        <f t="shared" si="69"/>
        <v>3</v>
      </c>
      <c r="P37" s="23"/>
      <c r="Q37" s="22"/>
      <c r="R37" s="22">
        <f t="shared" si="70"/>
        <v>3</v>
      </c>
      <c r="S37" s="23"/>
      <c r="T37" s="22"/>
      <c r="U37" s="22">
        <f t="shared" si="71"/>
        <v>3</v>
      </c>
      <c r="V37" s="23"/>
      <c r="W37" s="22"/>
      <c r="X37" s="22">
        <f t="shared" si="72"/>
        <v>3</v>
      </c>
      <c r="Y37" s="23"/>
      <c r="Z37" s="21">
        <v>2.0</v>
      </c>
      <c r="AA37" s="22">
        <f t="shared" si="73"/>
        <v>1</v>
      </c>
      <c r="AB37" s="23"/>
      <c r="AC37" s="21">
        <v>1.0</v>
      </c>
      <c r="AD37" s="22">
        <f t="shared" si="74"/>
        <v>0</v>
      </c>
      <c r="AE37" s="23"/>
      <c r="AF37" s="22"/>
      <c r="AG37" s="22">
        <f t="shared" si="75"/>
        <v>0</v>
      </c>
      <c r="AH37" s="23"/>
      <c r="AI37" s="22"/>
      <c r="AJ37" s="22">
        <f t="shared" si="76"/>
        <v>0</v>
      </c>
      <c r="AK37" s="23"/>
      <c r="AL37" s="22"/>
      <c r="AM37" s="22">
        <f t="shared" si="77"/>
        <v>0</v>
      </c>
      <c r="AN37" s="23"/>
      <c r="AO37" s="22"/>
      <c r="AP37" s="22">
        <f t="shared" si="78"/>
        <v>0</v>
      </c>
      <c r="AQ37" s="23"/>
      <c r="AR37" s="22"/>
      <c r="AS37" s="22">
        <f t="shared" si="79"/>
        <v>0</v>
      </c>
      <c r="AT37" s="23"/>
      <c r="AU37" s="22"/>
      <c r="AV37" s="22">
        <f t="shared" si="80"/>
        <v>0</v>
      </c>
      <c r="AW37" s="23"/>
      <c r="AX37" s="22"/>
      <c r="AY37" s="22">
        <f t="shared" si="81"/>
        <v>0</v>
      </c>
      <c r="AZ37" s="23"/>
      <c r="BA37" s="22"/>
      <c r="BB37" s="22">
        <f t="shared" si="82"/>
        <v>0</v>
      </c>
      <c r="BC37" s="23"/>
      <c r="BD37" s="22"/>
      <c r="BE37" s="22">
        <f t="shared" si="83"/>
        <v>0</v>
      </c>
      <c r="BF37" s="23"/>
      <c r="BG37" s="22"/>
      <c r="BH37" s="22">
        <f t="shared" si="84"/>
        <v>0</v>
      </c>
      <c r="BI37" s="23"/>
      <c r="BJ37" s="22"/>
      <c r="BK37" s="22">
        <f t="shared" si="85"/>
        <v>0</v>
      </c>
      <c r="BL37" s="23"/>
      <c r="BM37" s="22"/>
      <c r="BN37" s="22">
        <f t="shared" si="86"/>
        <v>0</v>
      </c>
      <c r="BO37" s="23"/>
      <c r="BP37" s="24">
        <f t="shared" si="87"/>
        <v>3</v>
      </c>
      <c r="BQ37" s="24">
        <f t="shared" si="88"/>
        <v>0</v>
      </c>
    </row>
    <row r="38" ht="15.75" customHeight="1">
      <c r="A38" s="2"/>
      <c r="B38" s="31" t="s">
        <v>129</v>
      </c>
      <c r="C38" s="20" t="s">
        <v>130</v>
      </c>
      <c r="D38" s="20" t="s">
        <v>131</v>
      </c>
      <c r="E38" s="11"/>
      <c r="F38" s="11" t="s">
        <v>132</v>
      </c>
      <c r="G38" s="11">
        <v>6.0</v>
      </c>
      <c r="H38" s="22"/>
      <c r="I38" s="22">
        <f t="shared" si="67"/>
        <v>6</v>
      </c>
      <c r="J38" s="23"/>
      <c r="K38" s="22"/>
      <c r="L38" s="22">
        <f t="shared" si="68"/>
        <v>6</v>
      </c>
      <c r="M38" s="23"/>
      <c r="N38" s="22"/>
      <c r="O38" s="22">
        <f t="shared" si="69"/>
        <v>6</v>
      </c>
      <c r="P38" s="23"/>
      <c r="Q38" s="22"/>
      <c r="R38" s="22">
        <f t="shared" si="70"/>
        <v>6</v>
      </c>
      <c r="S38" s="23"/>
      <c r="T38" s="22"/>
      <c r="U38" s="22">
        <f t="shared" si="71"/>
        <v>6</v>
      </c>
      <c r="V38" s="23"/>
      <c r="W38" s="22"/>
      <c r="X38" s="22">
        <f t="shared" si="72"/>
        <v>6</v>
      </c>
      <c r="Y38" s="23"/>
      <c r="Z38" s="22"/>
      <c r="AA38" s="22">
        <f t="shared" si="73"/>
        <v>6</v>
      </c>
      <c r="AB38" s="23"/>
      <c r="AC38" s="22"/>
      <c r="AD38" s="22">
        <f t="shared" si="74"/>
        <v>6</v>
      </c>
      <c r="AE38" s="23"/>
      <c r="AF38" s="22"/>
      <c r="AG38" s="22">
        <f t="shared" si="75"/>
        <v>6</v>
      </c>
      <c r="AH38" s="23"/>
      <c r="AI38" s="22"/>
      <c r="AJ38" s="22">
        <f t="shared" si="76"/>
        <v>6</v>
      </c>
      <c r="AK38" s="23"/>
      <c r="AL38" s="22"/>
      <c r="AM38" s="22">
        <f t="shared" si="77"/>
        <v>6</v>
      </c>
      <c r="AN38" s="23"/>
      <c r="AO38" s="22"/>
      <c r="AP38" s="22">
        <f t="shared" si="78"/>
        <v>6</v>
      </c>
      <c r="AQ38" s="23"/>
      <c r="AR38" s="22"/>
      <c r="AS38" s="22">
        <f t="shared" si="79"/>
        <v>6</v>
      </c>
      <c r="AT38" s="23"/>
      <c r="AU38" s="22"/>
      <c r="AV38" s="22">
        <f t="shared" si="80"/>
        <v>6</v>
      </c>
      <c r="AW38" s="23"/>
      <c r="AX38" s="22"/>
      <c r="AY38" s="22">
        <f t="shared" si="81"/>
        <v>6</v>
      </c>
      <c r="AZ38" s="23"/>
      <c r="BA38" s="22"/>
      <c r="BB38" s="22">
        <f t="shared" si="82"/>
        <v>6</v>
      </c>
      <c r="BC38" s="23"/>
      <c r="BD38" s="22"/>
      <c r="BE38" s="22">
        <f t="shared" si="83"/>
        <v>6</v>
      </c>
      <c r="BF38" s="23"/>
      <c r="BG38" s="22"/>
      <c r="BH38" s="22">
        <f t="shared" si="84"/>
        <v>6</v>
      </c>
      <c r="BI38" s="23"/>
      <c r="BJ38" s="22"/>
      <c r="BK38" s="22">
        <f t="shared" si="85"/>
        <v>6</v>
      </c>
      <c r="BL38" s="23"/>
      <c r="BM38" s="22"/>
      <c r="BN38" s="22">
        <f t="shared" si="86"/>
        <v>6</v>
      </c>
      <c r="BO38" s="23"/>
      <c r="BP38" s="24">
        <f t="shared" si="87"/>
        <v>0</v>
      </c>
      <c r="BQ38" s="24">
        <f t="shared" si="88"/>
        <v>6</v>
      </c>
    </row>
    <row r="39" ht="15.75" customHeight="1">
      <c r="A39" s="2"/>
      <c r="B39" s="31" t="s">
        <v>133</v>
      </c>
      <c r="C39" s="20" t="s">
        <v>134</v>
      </c>
      <c r="D39" s="20" t="s">
        <v>135</v>
      </c>
      <c r="E39" s="11" t="s">
        <v>115</v>
      </c>
      <c r="F39" s="11" t="s">
        <v>65</v>
      </c>
      <c r="G39" s="11">
        <v>6.0</v>
      </c>
      <c r="H39" s="22"/>
      <c r="I39" s="22">
        <f t="shared" si="67"/>
        <v>6</v>
      </c>
      <c r="J39" s="23"/>
      <c r="K39" s="22"/>
      <c r="L39" s="22">
        <f t="shared" si="68"/>
        <v>6</v>
      </c>
      <c r="M39" s="23"/>
      <c r="N39" s="22"/>
      <c r="O39" s="22">
        <f t="shared" si="69"/>
        <v>6</v>
      </c>
      <c r="P39" s="23"/>
      <c r="Q39" s="22"/>
      <c r="R39" s="22">
        <f t="shared" si="70"/>
        <v>6</v>
      </c>
      <c r="S39" s="23"/>
      <c r="T39" s="22"/>
      <c r="U39" s="22">
        <f t="shared" si="71"/>
        <v>6</v>
      </c>
      <c r="V39" s="23"/>
      <c r="W39" s="22"/>
      <c r="X39" s="22">
        <f t="shared" si="72"/>
        <v>6</v>
      </c>
      <c r="Y39" s="23"/>
      <c r="Z39" s="22"/>
      <c r="AA39" s="22">
        <f t="shared" si="73"/>
        <v>6</v>
      </c>
      <c r="AB39" s="23"/>
      <c r="AC39" s="21">
        <v>1.0</v>
      </c>
      <c r="AD39" s="22">
        <f t="shared" si="74"/>
        <v>5</v>
      </c>
      <c r="AE39" s="23"/>
      <c r="AF39" s="21">
        <v>2.0</v>
      </c>
      <c r="AG39" s="22">
        <f t="shared" si="75"/>
        <v>3</v>
      </c>
      <c r="AH39" s="23"/>
      <c r="AI39" s="21">
        <v>3.0</v>
      </c>
      <c r="AJ39" s="22">
        <f t="shared" si="76"/>
        <v>0</v>
      </c>
      <c r="AK39" s="23"/>
      <c r="AL39" s="22"/>
      <c r="AM39" s="22">
        <f t="shared" si="77"/>
        <v>0</v>
      </c>
      <c r="AN39" s="23"/>
      <c r="AO39" s="22"/>
      <c r="AP39" s="22">
        <f t="shared" si="78"/>
        <v>0</v>
      </c>
      <c r="AQ39" s="23"/>
      <c r="AR39" s="22"/>
      <c r="AS39" s="22">
        <f t="shared" si="79"/>
        <v>0</v>
      </c>
      <c r="AT39" s="23"/>
      <c r="AU39" s="22"/>
      <c r="AV39" s="22">
        <f t="shared" si="80"/>
        <v>0</v>
      </c>
      <c r="AW39" s="23"/>
      <c r="AX39" s="22"/>
      <c r="AY39" s="22">
        <f t="shared" si="81"/>
        <v>0</v>
      </c>
      <c r="AZ39" s="23"/>
      <c r="BA39" s="22"/>
      <c r="BB39" s="22">
        <f t="shared" si="82"/>
        <v>0</v>
      </c>
      <c r="BC39" s="23"/>
      <c r="BD39" s="22"/>
      <c r="BE39" s="22">
        <f t="shared" si="83"/>
        <v>0</v>
      </c>
      <c r="BF39" s="23"/>
      <c r="BG39" s="22"/>
      <c r="BH39" s="22">
        <f t="shared" si="84"/>
        <v>0</v>
      </c>
      <c r="BI39" s="23"/>
      <c r="BJ39" s="22"/>
      <c r="BK39" s="22">
        <f t="shared" si="85"/>
        <v>0</v>
      </c>
      <c r="BL39" s="23"/>
      <c r="BM39" s="22"/>
      <c r="BN39" s="22">
        <f t="shared" si="86"/>
        <v>0</v>
      </c>
      <c r="BO39" s="23"/>
      <c r="BP39" s="24">
        <f t="shared" si="87"/>
        <v>6</v>
      </c>
      <c r="BQ39" s="24">
        <f t="shared" si="88"/>
        <v>0</v>
      </c>
    </row>
    <row r="40" ht="15.75" customHeight="1">
      <c r="A40" s="2"/>
      <c r="B40" s="31" t="s">
        <v>136</v>
      </c>
      <c r="C40" s="20" t="s">
        <v>137</v>
      </c>
      <c r="D40" s="20" t="s">
        <v>138</v>
      </c>
      <c r="E40" s="11" t="s">
        <v>73</v>
      </c>
      <c r="F40" s="11" t="s">
        <v>65</v>
      </c>
      <c r="G40" s="11">
        <v>4.0</v>
      </c>
      <c r="H40" s="22"/>
      <c r="I40" s="22">
        <f t="shared" si="67"/>
        <v>4</v>
      </c>
      <c r="J40" s="23"/>
      <c r="K40" s="22"/>
      <c r="L40" s="22">
        <f t="shared" si="68"/>
        <v>4</v>
      </c>
      <c r="M40" s="23"/>
      <c r="N40" s="22"/>
      <c r="O40" s="22">
        <f t="shared" si="69"/>
        <v>4</v>
      </c>
      <c r="P40" s="23"/>
      <c r="Q40" s="22"/>
      <c r="R40" s="22">
        <f t="shared" si="70"/>
        <v>4</v>
      </c>
      <c r="S40" s="23"/>
      <c r="T40" s="22"/>
      <c r="U40" s="22">
        <f t="shared" si="71"/>
        <v>4</v>
      </c>
      <c r="V40" s="23"/>
      <c r="W40" s="22"/>
      <c r="X40" s="22">
        <f t="shared" si="72"/>
        <v>4</v>
      </c>
      <c r="Y40" s="23"/>
      <c r="Z40" s="22"/>
      <c r="AA40" s="22">
        <f t="shared" si="73"/>
        <v>4</v>
      </c>
      <c r="AB40" s="23"/>
      <c r="AC40" s="22"/>
      <c r="AD40" s="22">
        <f t="shared" si="74"/>
        <v>4</v>
      </c>
      <c r="AE40" s="23"/>
      <c r="AF40" s="21">
        <v>1.0</v>
      </c>
      <c r="AG40" s="22">
        <f t="shared" si="75"/>
        <v>3</v>
      </c>
      <c r="AH40" s="23"/>
      <c r="AI40" s="21">
        <v>3.0</v>
      </c>
      <c r="AJ40" s="22">
        <f t="shared" si="76"/>
        <v>0</v>
      </c>
      <c r="AK40" s="23"/>
      <c r="AL40" s="22"/>
      <c r="AM40" s="22">
        <f t="shared" si="77"/>
        <v>0</v>
      </c>
      <c r="AN40" s="23"/>
      <c r="AO40" s="22"/>
      <c r="AP40" s="22">
        <f t="shared" si="78"/>
        <v>0</v>
      </c>
      <c r="AQ40" s="23"/>
      <c r="AR40" s="22"/>
      <c r="AS40" s="22">
        <f t="shared" si="79"/>
        <v>0</v>
      </c>
      <c r="AT40" s="23"/>
      <c r="AU40" s="22"/>
      <c r="AV40" s="22">
        <f t="shared" si="80"/>
        <v>0</v>
      </c>
      <c r="AW40" s="23"/>
      <c r="AX40" s="22"/>
      <c r="AY40" s="22">
        <f t="shared" si="81"/>
        <v>0</v>
      </c>
      <c r="AZ40" s="23"/>
      <c r="BA40" s="22"/>
      <c r="BB40" s="22">
        <f t="shared" si="82"/>
        <v>0</v>
      </c>
      <c r="BC40" s="23"/>
      <c r="BD40" s="22"/>
      <c r="BE40" s="22">
        <f t="shared" si="83"/>
        <v>0</v>
      </c>
      <c r="BF40" s="23"/>
      <c r="BG40" s="22"/>
      <c r="BH40" s="22">
        <f t="shared" si="84"/>
        <v>0</v>
      </c>
      <c r="BI40" s="23"/>
      <c r="BJ40" s="22"/>
      <c r="BK40" s="22">
        <f t="shared" si="85"/>
        <v>0</v>
      </c>
      <c r="BL40" s="23"/>
      <c r="BM40" s="22"/>
      <c r="BN40" s="22">
        <f t="shared" si="86"/>
        <v>0</v>
      </c>
      <c r="BO40" s="23"/>
      <c r="BP40" s="24">
        <f t="shared" si="87"/>
        <v>4</v>
      </c>
      <c r="BQ40" s="24">
        <f t="shared" si="88"/>
        <v>0</v>
      </c>
    </row>
    <row r="41" ht="15.75" customHeight="1">
      <c r="A41" s="2"/>
      <c r="B41" s="34"/>
      <c r="C41" s="34"/>
      <c r="D41" s="35"/>
      <c r="E41" s="28"/>
      <c r="F41" s="28"/>
      <c r="G41" s="28"/>
      <c r="H41" s="30"/>
      <c r="I41" s="30">
        <f t="shared" si="67"/>
        <v>0</v>
      </c>
      <c r="J41" s="30"/>
      <c r="K41" s="30"/>
      <c r="L41" s="30">
        <f t="shared" si="68"/>
        <v>0</v>
      </c>
      <c r="M41" s="30"/>
      <c r="N41" s="30"/>
      <c r="O41" s="30">
        <f t="shared" si="69"/>
        <v>0</v>
      </c>
      <c r="P41" s="30"/>
      <c r="Q41" s="30"/>
      <c r="R41" s="30">
        <f t="shared" si="70"/>
        <v>0</v>
      </c>
      <c r="S41" s="30"/>
      <c r="T41" s="30"/>
      <c r="U41" s="30">
        <f t="shared" si="71"/>
        <v>0</v>
      </c>
      <c r="V41" s="30"/>
      <c r="W41" s="30"/>
      <c r="X41" s="30">
        <f t="shared" si="72"/>
        <v>0</v>
      </c>
      <c r="Y41" s="30"/>
      <c r="Z41" s="30"/>
      <c r="AA41" s="30">
        <f t="shared" si="73"/>
        <v>0</v>
      </c>
      <c r="AB41" s="30"/>
      <c r="AC41" s="30"/>
      <c r="AD41" s="30">
        <f t="shared" si="74"/>
        <v>0</v>
      </c>
      <c r="AE41" s="30"/>
      <c r="AF41" s="30"/>
      <c r="AG41" s="30">
        <f t="shared" si="75"/>
        <v>0</v>
      </c>
      <c r="AH41" s="30"/>
      <c r="AI41" s="30"/>
      <c r="AJ41" s="30">
        <f t="shared" si="76"/>
        <v>0</v>
      </c>
      <c r="AK41" s="30"/>
      <c r="AL41" s="30"/>
      <c r="AM41" s="30">
        <f t="shared" si="77"/>
        <v>0</v>
      </c>
      <c r="AN41" s="30"/>
      <c r="AO41" s="30"/>
      <c r="AP41" s="30">
        <f t="shared" si="78"/>
        <v>0</v>
      </c>
      <c r="AQ41" s="30"/>
      <c r="AR41" s="30"/>
      <c r="AS41" s="30">
        <f t="shared" si="79"/>
        <v>0</v>
      </c>
      <c r="AT41" s="30"/>
      <c r="AU41" s="30"/>
      <c r="AV41" s="30">
        <f t="shared" si="80"/>
        <v>0</v>
      </c>
      <c r="AW41" s="30"/>
      <c r="AX41" s="30"/>
      <c r="AY41" s="30">
        <f t="shared" si="81"/>
        <v>0</v>
      </c>
      <c r="AZ41" s="30"/>
      <c r="BA41" s="30"/>
      <c r="BB41" s="30">
        <f t="shared" si="82"/>
        <v>0</v>
      </c>
      <c r="BC41" s="30"/>
      <c r="BD41" s="30"/>
      <c r="BE41" s="30">
        <f t="shared" si="83"/>
        <v>0</v>
      </c>
      <c r="BF41" s="30"/>
      <c r="BG41" s="30"/>
      <c r="BH41" s="30">
        <f t="shared" si="84"/>
        <v>0</v>
      </c>
      <c r="BI41" s="30"/>
      <c r="BJ41" s="30"/>
      <c r="BK41" s="30">
        <f t="shared" si="85"/>
        <v>0</v>
      </c>
      <c r="BL41" s="30"/>
      <c r="BM41" s="30"/>
      <c r="BN41" s="30">
        <f t="shared" si="86"/>
        <v>0</v>
      </c>
      <c r="BO41" s="30"/>
      <c r="BP41" s="30">
        <f t="shared" si="87"/>
        <v>0</v>
      </c>
      <c r="BQ41" s="30">
        <f t="shared" si="88"/>
        <v>0</v>
      </c>
    </row>
    <row r="42" ht="15.75" customHeight="1">
      <c r="A42" s="2"/>
      <c r="B42" s="19" t="s">
        <v>139</v>
      </c>
      <c r="C42" s="20" t="s">
        <v>140</v>
      </c>
      <c r="D42" s="20" t="s">
        <v>141</v>
      </c>
      <c r="E42" s="11" t="s">
        <v>73</v>
      </c>
      <c r="F42" s="11" t="s">
        <v>65</v>
      </c>
      <c r="G42" s="11">
        <v>0.5</v>
      </c>
      <c r="H42" s="21">
        <v>0.5</v>
      </c>
      <c r="I42" s="22">
        <f t="shared" si="67"/>
        <v>0</v>
      </c>
      <c r="J42" s="23"/>
      <c r="K42" s="22"/>
      <c r="L42" s="22">
        <f t="shared" si="68"/>
        <v>0</v>
      </c>
      <c r="M42" s="23"/>
      <c r="N42" s="22"/>
      <c r="O42" s="22">
        <f t="shared" si="69"/>
        <v>0</v>
      </c>
      <c r="P42" s="23"/>
      <c r="Q42" s="22"/>
      <c r="R42" s="22">
        <f t="shared" si="70"/>
        <v>0</v>
      </c>
      <c r="S42" s="23"/>
      <c r="T42" s="22"/>
      <c r="U42" s="22">
        <f t="shared" si="71"/>
        <v>0</v>
      </c>
      <c r="V42" s="23"/>
      <c r="W42" s="22"/>
      <c r="X42" s="22">
        <f t="shared" si="72"/>
        <v>0</v>
      </c>
      <c r="Y42" s="23"/>
      <c r="Z42" s="22"/>
      <c r="AA42" s="22">
        <f t="shared" si="73"/>
        <v>0</v>
      </c>
      <c r="AB42" s="23"/>
      <c r="AC42" s="22"/>
      <c r="AD42" s="22">
        <f t="shared" si="74"/>
        <v>0</v>
      </c>
      <c r="AE42" s="23"/>
      <c r="AF42" s="22"/>
      <c r="AG42" s="22">
        <f t="shared" si="75"/>
        <v>0</v>
      </c>
      <c r="AH42" s="23"/>
      <c r="AI42" s="22"/>
      <c r="AJ42" s="22">
        <f t="shared" si="76"/>
        <v>0</v>
      </c>
      <c r="AK42" s="23"/>
      <c r="AL42" s="22"/>
      <c r="AM42" s="22">
        <f t="shared" si="77"/>
        <v>0</v>
      </c>
      <c r="AN42" s="23"/>
      <c r="AO42" s="22"/>
      <c r="AP42" s="22">
        <f t="shared" si="78"/>
        <v>0</v>
      </c>
      <c r="AQ42" s="23"/>
      <c r="AR42" s="22"/>
      <c r="AS42" s="22">
        <f t="shared" si="79"/>
        <v>0</v>
      </c>
      <c r="AT42" s="23"/>
      <c r="AU42" s="22"/>
      <c r="AV42" s="22">
        <f t="shared" si="80"/>
        <v>0</v>
      </c>
      <c r="AW42" s="23"/>
      <c r="AX42" s="22"/>
      <c r="AY42" s="22">
        <f t="shared" si="81"/>
        <v>0</v>
      </c>
      <c r="AZ42" s="23"/>
      <c r="BA42" s="22"/>
      <c r="BB42" s="22">
        <f t="shared" si="82"/>
        <v>0</v>
      </c>
      <c r="BC42" s="23"/>
      <c r="BD42" s="22"/>
      <c r="BE42" s="22">
        <f t="shared" si="83"/>
        <v>0</v>
      </c>
      <c r="BF42" s="23"/>
      <c r="BG42" s="22"/>
      <c r="BH42" s="22">
        <f t="shared" si="84"/>
        <v>0</v>
      </c>
      <c r="BI42" s="23"/>
      <c r="BJ42" s="22"/>
      <c r="BK42" s="22">
        <f t="shared" si="85"/>
        <v>0</v>
      </c>
      <c r="BL42" s="23"/>
      <c r="BM42" s="22"/>
      <c r="BN42" s="22">
        <f t="shared" si="86"/>
        <v>0</v>
      </c>
      <c r="BO42" s="23"/>
      <c r="BP42" s="24">
        <f t="shared" si="87"/>
        <v>0.5</v>
      </c>
      <c r="BQ42" s="24">
        <f t="shared" si="88"/>
        <v>0</v>
      </c>
    </row>
    <row r="43" ht="15.75" customHeight="1">
      <c r="A43" s="2"/>
      <c r="B43" s="31"/>
      <c r="C43" s="20"/>
      <c r="D43" s="20" t="s">
        <v>142</v>
      </c>
      <c r="E43" s="11" t="s">
        <v>115</v>
      </c>
      <c r="F43" s="11" t="s">
        <v>65</v>
      </c>
      <c r="G43" s="11">
        <v>2.0</v>
      </c>
      <c r="H43" s="21">
        <v>2.0</v>
      </c>
      <c r="I43" s="22">
        <f t="shared" si="67"/>
        <v>0</v>
      </c>
      <c r="J43" s="23"/>
      <c r="K43" s="22"/>
      <c r="L43" s="22">
        <f t="shared" si="68"/>
        <v>0</v>
      </c>
      <c r="M43" s="23"/>
      <c r="N43" s="22"/>
      <c r="O43" s="22">
        <f t="shared" si="69"/>
        <v>0</v>
      </c>
      <c r="P43" s="23"/>
      <c r="Q43" s="22"/>
      <c r="R43" s="22">
        <f t="shared" si="70"/>
        <v>0</v>
      </c>
      <c r="S43" s="23"/>
      <c r="T43" s="22"/>
      <c r="U43" s="22">
        <f t="shared" si="71"/>
        <v>0</v>
      </c>
      <c r="V43" s="23"/>
      <c r="W43" s="22"/>
      <c r="X43" s="22">
        <f t="shared" si="72"/>
        <v>0</v>
      </c>
      <c r="Y43" s="23"/>
      <c r="Z43" s="22"/>
      <c r="AA43" s="22">
        <f t="shared" si="73"/>
        <v>0</v>
      </c>
      <c r="AB43" s="23"/>
      <c r="AC43" s="22"/>
      <c r="AD43" s="22">
        <f t="shared" si="74"/>
        <v>0</v>
      </c>
      <c r="AE43" s="23"/>
      <c r="AF43" s="22"/>
      <c r="AG43" s="22">
        <f t="shared" si="75"/>
        <v>0</v>
      </c>
      <c r="AH43" s="23"/>
      <c r="AI43" s="22"/>
      <c r="AJ43" s="22">
        <f t="shared" si="76"/>
        <v>0</v>
      </c>
      <c r="AK43" s="23"/>
      <c r="AL43" s="22"/>
      <c r="AM43" s="22">
        <f t="shared" si="77"/>
        <v>0</v>
      </c>
      <c r="AN43" s="23"/>
      <c r="AO43" s="22"/>
      <c r="AP43" s="22">
        <f t="shared" si="78"/>
        <v>0</v>
      </c>
      <c r="AQ43" s="23"/>
      <c r="AR43" s="22"/>
      <c r="AS43" s="22">
        <f t="shared" si="79"/>
        <v>0</v>
      </c>
      <c r="AT43" s="23"/>
      <c r="AU43" s="22"/>
      <c r="AV43" s="22">
        <f t="shared" si="80"/>
        <v>0</v>
      </c>
      <c r="AW43" s="23"/>
      <c r="AX43" s="22"/>
      <c r="AY43" s="22">
        <f t="shared" si="81"/>
        <v>0</v>
      </c>
      <c r="AZ43" s="23"/>
      <c r="BA43" s="22"/>
      <c r="BB43" s="22">
        <f t="shared" si="82"/>
        <v>0</v>
      </c>
      <c r="BC43" s="23"/>
      <c r="BD43" s="22"/>
      <c r="BE43" s="22">
        <f t="shared" si="83"/>
        <v>0</v>
      </c>
      <c r="BF43" s="23"/>
      <c r="BG43" s="22"/>
      <c r="BH43" s="22">
        <f t="shared" si="84"/>
        <v>0</v>
      </c>
      <c r="BI43" s="23"/>
      <c r="BJ43" s="22"/>
      <c r="BK43" s="22">
        <f t="shared" si="85"/>
        <v>0</v>
      </c>
      <c r="BL43" s="23"/>
      <c r="BM43" s="22"/>
      <c r="BN43" s="22">
        <f t="shared" si="86"/>
        <v>0</v>
      </c>
      <c r="BO43" s="23"/>
      <c r="BP43" s="24">
        <f t="shared" si="87"/>
        <v>2</v>
      </c>
      <c r="BQ43" s="24">
        <f t="shared" si="88"/>
        <v>0</v>
      </c>
    </row>
    <row r="44" ht="15.75" customHeight="1">
      <c r="A44" s="2"/>
      <c r="B44" s="31"/>
      <c r="C44" s="20"/>
      <c r="D44" s="20" t="s">
        <v>143</v>
      </c>
      <c r="E44" s="11" t="s">
        <v>73</v>
      </c>
      <c r="F44" s="11" t="s">
        <v>65</v>
      </c>
      <c r="G44" s="11">
        <v>1.0</v>
      </c>
      <c r="H44" s="21">
        <v>1.0</v>
      </c>
      <c r="I44" s="22">
        <f t="shared" si="67"/>
        <v>0</v>
      </c>
      <c r="J44" s="23"/>
      <c r="K44" s="22"/>
      <c r="L44" s="22">
        <f t="shared" si="68"/>
        <v>0</v>
      </c>
      <c r="M44" s="23"/>
      <c r="N44" s="22"/>
      <c r="O44" s="22">
        <f t="shared" si="69"/>
        <v>0</v>
      </c>
      <c r="P44" s="23"/>
      <c r="Q44" s="22"/>
      <c r="R44" s="22">
        <f t="shared" si="70"/>
        <v>0</v>
      </c>
      <c r="S44" s="23"/>
      <c r="T44" s="22"/>
      <c r="U44" s="22">
        <f t="shared" si="71"/>
        <v>0</v>
      </c>
      <c r="V44" s="23"/>
      <c r="W44" s="22"/>
      <c r="X44" s="22">
        <f t="shared" si="72"/>
        <v>0</v>
      </c>
      <c r="Y44" s="23"/>
      <c r="Z44" s="22"/>
      <c r="AA44" s="22">
        <f t="shared" si="73"/>
        <v>0</v>
      </c>
      <c r="AB44" s="23"/>
      <c r="AC44" s="22"/>
      <c r="AD44" s="22">
        <f t="shared" si="74"/>
        <v>0</v>
      </c>
      <c r="AE44" s="23"/>
      <c r="AF44" s="22"/>
      <c r="AG44" s="22">
        <f t="shared" si="75"/>
        <v>0</v>
      </c>
      <c r="AH44" s="23"/>
      <c r="AI44" s="22"/>
      <c r="AJ44" s="22">
        <f t="shared" si="76"/>
        <v>0</v>
      </c>
      <c r="AK44" s="23"/>
      <c r="AL44" s="22"/>
      <c r="AM44" s="22">
        <f t="shared" si="77"/>
        <v>0</v>
      </c>
      <c r="AN44" s="23"/>
      <c r="AO44" s="22"/>
      <c r="AP44" s="22">
        <f t="shared" si="78"/>
        <v>0</v>
      </c>
      <c r="AQ44" s="23"/>
      <c r="AR44" s="22"/>
      <c r="AS44" s="22">
        <f t="shared" si="79"/>
        <v>0</v>
      </c>
      <c r="AT44" s="23"/>
      <c r="AU44" s="22"/>
      <c r="AV44" s="22">
        <f t="shared" si="80"/>
        <v>0</v>
      </c>
      <c r="AW44" s="23"/>
      <c r="AX44" s="22"/>
      <c r="AY44" s="22">
        <f t="shared" si="81"/>
        <v>0</v>
      </c>
      <c r="AZ44" s="23"/>
      <c r="BA44" s="22"/>
      <c r="BB44" s="22">
        <f t="shared" si="82"/>
        <v>0</v>
      </c>
      <c r="BC44" s="23"/>
      <c r="BD44" s="22"/>
      <c r="BE44" s="22">
        <f t="shared" si="83"/>
        <v>0</v>
      </c>
      <c r="BF44" s="23"/>
      <c r="BG44" s="22"/>
      <c r="BH44" s="22">
        <f t="shared" si="84"/>
        <v>0</v>
      </c>
      <c r="BI44" s="23"/>
      <c r="BJ44" s="22"/>
      <c r="BK44" s="22">
        <f t="shared" si="85"/>
        <v>0</v>
      </c>
      <c r="BL44" s="23"/>
      <c r="BM44" s="22"/>
      <c r="BN44" s="22">
        <f t="shared" si="86"/>
        <v>0</v>
      </c>
      <c r="BO44" s="23"/>
      <c r="BP44" s="24">
        <f t="shared" si="87"/>
        <v>1</v>
      </c>
      <c r="BQ44" s="24">
        <f t="shared" si="88"/>
        <v>0</v>
      </c>
    </row>
    <row r="45" ht="15.75" customHeight="1">
      <c r="A45" s="2"/>
      <c r="B45" s="31" t="s">
        <v>144</v>
      </c>
      <c r="C45" s="20" t="s">
        <v>145</v>
      </c>
      <c r="D45" s="20" t="s">
        <v>146</v>
      </c>
      <c r="E45" s="11" t="s">
        <v>73</v>
      </c>
      <c r="F45" s="11" t="s">
        <v>65</v>
      </c>
      <c r="G45" s="11">
        <v>1.0</v>
      </c>
      <c r="H45" s="21">
        <v>1.0</v>
      </c>
      <c r="I45" s="22">
        <f t="shared" si="67"/>
        <v>0</v>
      </c>
      <c r="J45" s="23"/>
      <c r="K45" s="22"/>
      <c r="L45" s="22">
        <f t="shared" si="68"/>
        <v>0</v>
      </c>
      <c r="M45" s="23"/>
      <c r="N45" s="22"/>
      <c r="O45" s="22">
        <f t="shared" si="69"/>
        <v>0</v>
      </c>
      <c r="P45" s="23"/>
      <c r="Q45" s="22"/>
      <c r="R45" s="22">
        <f t="shared" si="70"/>
        <v>0</v>
      </c>
      <c r="S45" s="23"/>
      <c r="T45" s="22"/>
      <c r="U45" s="22">
        <f t="shared" si="71"/>
        <v>0</v>
      </c>
      <c r="V45" s="23"/>
      <c r="W45" s="22"/>
      <c r="X45" s="22">
        <f t="shared" si="72"/>
        <v>0</v>
      </c>
      <c r="Y45" s="23"/>
      <c r="Z45" s="22"/>
      <c r="AA45" s="22">
        <f t="shared" si="73"/>
        <v>0</v>
      </c>
      <c r="AB45" s="23"/>
      <c r="AC45" s="22"/>
      <c r="AD45" s="22">
        <f t="shared" si="74"/>
        <v>0</v>
      </c>
      <c r="AE45" s="23"/>
      <c r="AF45" s="22"/>
      <c r="AG45" s="22">
        <f t="shared" si="75"/>
        <v>0</v>
      </c>
      <c r="AH45" s="23"/>
      <c r="AI45" s="22"/>
      <c r="AJ45" s="22">
        <f t="shared" si="76"/>
        <v>0</v>
      </c>
      <c r="AK45" s="23"/>
      <c r="AL45" s="22"/>
      <c r="AM45" s="22">
        <f t="shared" si="77"/>
        <v>0</v>
      </c>
      <c r="AN45" s="23"/>
      <c r="AO45" s="22"/>
      <c r="AP45" s="22">
        <f t="shared" si="78"/>
        <v>0</v>
      </c>
      <c r="AQ45" s="23"/>
      <c r="AR45" s="22"/>
      <c r="AS45" s="22">
        <f t="shared" si="79"/>
        <v>0</v>
      </c>
      <c r="AT45" s="23"/>
      <c r="AU45" s="22"/>
      <c r="AV45" s="22">
        <f t="shared" si="80"/>
        <v>0</v>
      </c>
      <c r="AW45" s="23"/>
      <c r="AX45" s="22"/>
      <c r="AY45" s="22">
        <f t="shared" si="81"/>
        <v>0</v>
      </c>
      <c r="AZ45" s="23"/>
      <c r="BA45" s="22"/>
      <c r="BB45" s="22">
        <f t="shared" si="82"/>
        <v>0</v>
      </c>
      <c r="BC45" s="23"/>
      <c r="BD45" s="22"/>
      <c r="BE45" s="22">
        <f t="shared" si="83"/>
        <v>0</v>
      </c>
      <c r="BF45" s="23"/>
      <c r="BG45" s="22"/>
      <c r="BH45" s="22">
        <f t="shared" si="84"/>
        <v>0</v>
      </c>
      <c r="BI45" s="23"/>
      <c r="BJ45" s="22"/>
      <c r="BK45" s="22">
        <f t="shared" si="85"/>
        <v>0</v>
      </c>
      <c r="BL45" s="23"/>
      <c r="BM45" s="22"/>
      <c r="BN45" s="22">
        <f t="shared" si="86"/>
        <v>0</v>
      </c>
      <c r="BO45" s="23"/>
      <c r="BP45" s="24">
        <f t="shared" si="87"/>
        <v>1</v>
      </c>
      <c r="BQ45" s="24">
        <f t="shared" si="88"/>
        <v>0</v>
      </c>
    </row>
    <row r="46" ht="15.75" customHeight="1">
      <c r="A46" s="2"/>
      <c r="B46" s="31"/>
      <c r="C46" s="20"/>
      <c r="D46" s="20" t="s">
        <v>147</v>
      </c>
      <c r="E46" s="11" t="s">
        <v>115</v>
      </c>
      <c r="F46" s="11" t="s">
        <v>65</v>
      </c>
      <c r="G46" s="11">
        <v>1.5</v>
      </c>
      <c r="H46" s="21">
        <v>1.0</v>
      </c>
      <c r="I46" s="22">
        <f t="shared" si="67"/>
        <v>0.5</v>
      </c>
      <c r="J46" s="23"/>
      <c r="K46" s="21">
        <v>0.5</v>
      </c>
      <c r="L46" s="22">
        <f t="shared" si="68"/>
        <v>0</v>
      </c>
      <c r="M46" s="23"/>
      <c r="N46" s="22"/>
      <c r="O46" s="22">
        <f t="shared" si="69"/>
        <v>0</v>
      </c>
      <c r="P46" s="23"/>
      <c r="Q46" s="22"/>
      <c r="R46" s="22">
        <f t="shared" si="70"/>
        <v>0</v>
      </c>
      <c r="S46" s="23"/>
      <c r="T46" s="22"/>
      <c r="U46" s="22">
        <f t="shared" si="71"/>
        <v>0</v>
      </c>
      <c r="V46" s="23"/>
      <c r="W46" s="22"/>
      <c r="X46" s="22">
        <f t="shared" si="72"/>
        <v>0</v>
      </c>
      <c r="Y46" s="23"/>
      <c r="Z46" s="22"/>
      <c r="AA46" s="22">
        <f t="shared" si="73"/>
        <v>0</v>
      </c>
      <c r="AB46" s="23"/>
      <c r="AC46" s="22"/>
      <c r="AD46" s="22">
        <f t="shared" si="74"/>
        <v>0</v>
      </c>
      <c r="AE46" s="23"/>
      <c r="AF46" s="22"/>
      <c r="AG46" s="22">
        <f t="shared" si="75"/>
        <v>0</v>
      </c>
      <c r="AH46" s="23"/>
      <c r="AI46" s="22"/>
      <c r="AJ46" s="22">
        <f t="shared" si="76"/>
        <v>0</v>
      </c>
      <c r="AK46" s="23"/>
      <c r="AL46" s="22"/>
      <c r="AM46" s="22">
        <f t="shared" si="77"/>
        <v>0</v>
      </c>
      <c r="AN46" s="23"/>
      <c r="AO46" s="22"/>
      <c r="AP46" s="22">
        <f t="shared" si="78"/>
        <v>0</v>
      </c>
      <c r="AQ46" s="23"/>
      <c r="AR46" s="22"/>
      <c r="AS46" s="22">
        <f t="shared" si="79"/>
        <v>0</v>
      </c>
      <c r="AT46" s="23"/>
      <c r="AU46" s="22"/>
      <c r="AV46" s="22">
        <f t="shared" si="80"/>
        <v>0</v>
      </c>
      <c r="AW46" s="23"/>
      <c r="AX46" s="22"/>
      <c r="AY46" s="22">
        <f t="shared" si="81"/>
        <v>0</v>
      </c>
      <c r="AZ46" s="23"/>
      <c r="BA46" s="22"/>
      <c r="BB46" s="22">
        <f t="shared" si="82"/>
        <v>0</v>
      </c>
      <c r="BC46" s="23"/>
      <c r="BD46" s="22"/>
      <c r="BE46" s="22">
        <f t="shared" si="83"/>
        <v>0</v>
      </c>
      <c r="BF46" s="23"/>
      <c r="BG46" s="22"/>
      <c r="BH46" s="22">
        <f t="shared" si="84"/>
        <v>0</v>
      </c>
      <c r="BI46" s="23"/>
      <c r="BJ46" s="22"/>
      <c r="BK46" s="22">
        <f t="shared" si="85"/>
        <v>0</v>
      </c>
      <c r="BL46" s="23"/>
      <c r="BM46" s="22"/>
      <c r="BN46" s="22">
        <f t="shared" si="86"/>
        <v>0</v>
      </c>
      <c r="BO46" s="23"/>
      <c r="BP46" s="24">
        <f t="shared" si="87"/>
        <v>1.5</v>
      </c>
      <c r="BQ46" s="24">
        <f t="shared" si="88"/>
        <v>0</v>
      </c>
    </row>
    <row r="47" ht="15.75" customHeight="1">
      <c r="A47" s="2"/>
      <c r="B47" s="31" t="s">
        <v>148</v>
      </c>
      <c r="C47" s="20" t="s">
        <v>149</v>
      </c>
      <c r="D47" s="20" t="s">
        <v>150</v>
      </c>
      <c r="E47" s="11" t="s">
        <v>115</v>
      </c>
      <c r="F47" s="11" t="s">
        <v>65</v>
      </c>
      <c r="G47" s="11">
        <v>1.0</v>
      </c>
      <c r="H47" s="22"/>
      <c r="I47" s="22">
        <f t="shared" si="67"/>
        <v>1</v>
      </c>
      <c r="J47" s="23"/>
      <c r="K47" s="21">
        <v>1.0</v>
      </c>
      <c r="L47" s="22">
        <f t="shared" si="68"/>
        <v>0</v>
      </c>
      <c r="M47" s="23"/>
      <c r="N47" s="22"/>
      <c r="O47" s="22">
        <f t="shared" si="69"/>
        <v>0</v>
      </c>
      <c r="P47" s="23"/>
      <c r="Q47" s="22"/>
      <c r="R47" s="22">
        <f t="shared" si="70"/>
        <v>0</v>
      </c>
      <c r="S47" s="23"/>
      <c r="T47" s="22"/>
      <c r="U47" s="22">
        <f t="shared" si="71"/>
        <v>0</v>
      </c>
      <c r="V47" s="23"/>
      <c r="W47" s="22"/>
      <c r="X47" s="22">
        <f t="shared" si="72"/>
        <v>0</v>
      </c>
      <c r="Y47" s="23"/>
      <c r="Z47" s="22"/>
      <c r="AA47" s="22">
        <f t="shared" si="73"/>
        <v>0</v>
      </c>
      <c r="AB47" s="23"/>
      <c r="AC47" s="22"/>
      <c r="AD47" s="22">
        <f t="shared" si="74"/>
        <v>0</v>
      </c>
      <c r="AE47" s="23"/>
      <c r="AF47" s="22"/>
      <c r="AG47" s="22">
        <f t="shared" si="75"/>
        <v>0</v>
      </c>
      <c r="AH47" s="23"/>
      <c r="AI47" s="22"/>
      <c r="AJ47" s="22">
        <f t="shared" si="76"/>
        <v>0</v>
      </c>
      <c r="AK47" s="23"/>
      <c r="AL47" s="22"/>
      <c r="AM47" s="22">
        <f t="shared" si="77"/>
        <v>0</v>
      </c>
      <c r="AN47" s="23"/>
      <c r="AO47" s="22"/>
      <c r="AP47" s="22">
        <f t="shared" si="78"/>
        <v>0</v>
      </c>
      <c r="AQ47" s="23"/>
      <c r="AR47" s="22"/>
      <c r="AS47" s="22">
        <f t="shared" si="79"/>
        <v>0</v>
      </c>
      <c r="AT47" s="23"/>
      <c r="AU47" s="22"/>
      <c r="AV47" s="22">
        <f t="shared" si="80"/>
        <v>0</v>
      </c>
      <c r="AW47" s="23"/>
      <c r="AX47" s="22"/>
      <c r="AY47" s="22">
        <f t="shared" si="81"/>
        <v>0</v>
      </c>
      <c r="AZ47" s="23"/>
      <c r="BA47" s="22"/>
      <c r="BB47" s="22">
        <f t="shared" si="82"/>
        <v>0</v>
      </c>
      <c r="BC47" s="23"/>
      <c r="BD47" s="22"/>
      <c r="BE47" s="22">
        <f t="shared" si="83"/>
        <v>0</v>
      </c>
      <c r="BF47" s="23"/>
      <c r="BG47" s="22"/>
      <c r="BH47" s="22">
        <f t="shared" si="84"/>
        <v>0</v>
      </c>
      <c r="BI47" s="23"/>
      <c r="BJ47" s="22"/>
      <c r="BK47" s="22">
        <f t="shared" si="85"/>
        <v>0</v>
      </c>
      <c r="BL47" s="23"/>
      <c r="BM47" s="22"/>
      <c r="BN47" s="22">
        <f t="shared" si="86"/>
        <v>0</v>
      </c>
      <c r="BO47" s="23"/>
      <c r="BP47" s="24">
        <f t="shared" si="87"/>
        <v>1</v>
      </c>
      <c r="BQ47" s="24">
        <f t="shared" si="88"/>
        <v>0</v>
      </c>
    </row>
    <row r="48" ht="15.75" customHeight="1">
      <c r="A48" s="2"/>
      <c r="B48" s="31" t="s">
        <v>151</v>
      </c>
      <c r="C48" s="20" t="s">
        <v>152</v>
      </c>
      <c r="D48" s="20" t="s">
        <v>153</v>
      </c>
      <c r="E48" s="11" t="s">
        <v>73</v>
      </c>
      <c r="F48" s="11" t="s">
        <v>65</v>
      </c>
      <c r="G48" s="11">
        <v>1.0</v>
      </c>
      <c r="H48" s="21">
        <v>0.5</v>
      </c>
      <c r="I48" s="22">
        <f t="shared" si="67"/>
        <v>0.5</v>
      </c>
      <c r="J48" s="23"/>
      <c r="K48" s="21">
        <v>0.5</v>
      </c>
      <c r="L48" s="22">
        <f t="shared" si="68"/>
        <v>0</v>
      </c>
      <c r="M48" s="23"/>
      <c r="N48" s="22"/>
      <c r="O48" s="22">
        <f t="shared" si="69"/>
        <v>0</v>
      </c>
      <c r="P48" s="23"/>
      <c r="Q48" s="22"/>
      <c r="R48" s="22">
        <f t="shared" si="70"/>
        <v>0</v>
      </c>
      <c r="S48" s="23"/>
      <c r="T48" s="22"/>
      <c r="U48" s="22">
        <f t="shared" si="71"/>
        <v>0</v>
      </c>
      <c r="V48" s="23"/>
      <c r="W48" s="22"/>
      <c r="X48" s="22">
        <f t="shared" si="72"/>
        <v>0</v>
      </c>
      <c r="Y48" s="23"/>
      <c r="Z48" s="22"/>
      <c r="AA48" s="22">
        <f t="shared" si="73"/>
        <v>0</v>
      </c>
      <c r="AB48" s="23"/>
      <c r="AC48" s="22"/>
      <c r="AD48" s="22">
        <f t="shared" si="74"/>
        <v>0</v>
      </c>
      <c r="AE48" s="23"/>
      <c r="AF48" s="22"/>
      <c r="AG48" s="22">
        <f t="shared" si="75"/>
        <v>0</v>
      </c>
      <c r="AH48" s="23"/>
      <c r="AI48" s="22"/>
      <c r="AJ48" s="22">
        <f t="shared" si="76"/>
        <v>0</v>
      </c>
      <c r="AK48" s="23"/>
      <c r="AL48" s="22"/>
      <c r="AM48" s="22">
        <f t="shared" si="77"/>
        <v>0</v>
      </c>
      <c r="AN48" s="23"/>
      <c r="AO48" s="22"/>
      <c r="AP48" s="22">
        <f t="shared" si="78"/>
        <v>0</v>
      </c>
      <c r="AQ48" s="23"/>
      <c r="AR48" s="22"/>
      <c r="AS48" s="22">
        <f t="shared" si="79"/>
        <v>0</v>
      </c>
      <c r="AT48" s="23"/>
      <c r="AU48" s="22"/>
      <c r="AV48" s="22">
        <f t="shared" si="80"/>
        <v>0</v>
      </c>
      <c r="AW48" s="23"/>
      <c r="AX48" s="22"/>
      <c r="AY48" s="22">
        <f t="shared" si="81"/>
        <v>0</v>
      </c>
      <c r="AZ48" s="23"/>
      <c r="BA48" s="22"/>
      <c r="BB48" s="22">
        <f t="shared" si="82"/>
        <v>0</v>
      </c>
      <c r="BC48" s="23"/>
      <c r="BD48" s="22"/>
      <c r="BE48" s="22">
        <f t="shared" si="83"/>
        <v>0</v>
      </c>
      <c r="BF48" s="23"/>
      <c r="BG48" s="22"/>
      <c r="BH48" s="22">
        <f t="shared" si="84"/>
        <v>0</v>
      </c>
      <c r="BI48" s="23"/>
      <c r="BJ48" s="22"/>
      <c r="BK48" s="22">
        <f t="shared" si="85"/>
        <v>0</v>
      </c>
      <c r="BL48" s="23"/>
      <c r="BM48" s="22"/>
      <c r="BN48" s="22">
        <f t="shared" si="86"/>
        <v>0</v>
      </c>
      <c r="BO48" s="23"/>
      <c r="BP48" s="24">
        <f t="shared" si="87"/>
        <v>1</v>
      </c>
      <c r="BQ48" s="24">
        <f t="shared" si="88"/>
        <v>0</v>
      </c>
    </row>
    <row r="49" ht="15.75" customHeight="1">
      <c r="A49" s="2"/>
      <c r="B49" s="31"/>
      <c r="C49" s="20"/>
      <c r="D49" s="20" t="s">
        <v>154</v>
      </c>
      <c r="E49" s="11" t="s">
        <v>73</v>
      </c>
      <c r="F49" s="11" t="s">
        <v>65</v>
      </c>
      <c r="G49" s="11">
        <v>1.0</v>
      </c>
      <c r="H49" s="22"/>
      <c r="I49" s="22">
        <f t="shared" si="67"/>
        <v>1</v>
      </c>
      <c r="J49" s="23"/>
      <c r="K49" s="21">
        <v>1.0</v>
      </c>
      <c r="L49" s="22">
        <f t="shared" si="68"/>
        <v>0</v>
      </c>
      <c r="M49" s="23"/>
      <c r="N49" s="22"/>
      <c r="O49" s="22">
        <f t="shared" si="69"/>
        <v>0</v>
      </c>
      <c r="P49" s="23"/>
      <c r="Q49" s="22"/>
      <c r="R49" s="22">
        <f t="shared" si="70"/>
        <v>0</v>
      </c>
      <c r="S49" s="23"/>
      <c r="T49" s="22"/>
      <c r="U49" s="22">
        <f t="shared" si="71"/>
        <v>0</v>
      </c>
      <c r="V49" s="23"/>
      <c r="W49" s="22"/>
      <c r="X49" s="22">
        <f t="shared" si="72"/>
        <v>0</v>
      </c>
      <c r="Y49" s="23"/>
      <c r="Z49" s="22"/>
      <c r="AA49" s="22">
        <f t="shared" si="73"/>
        <v>0</v>
      </c>
      <c r="AB49" s="23"/>
      <c r="AC49" s="22"/>
      <c r="AD49" s="22">
        <f t="shared" si="74"/>
        <v>0</v>
      </c>
      <c r="AE49" s="23"/>
      <c r="AF49" s="22"/>
      <c r="AG49" s="22">
        <f t="shared" si="75"/>
        <v>0</v>
      </c>
      <c r="AH49" s="23"/>
      <c r="AI49" s="22"/>
      <c r="AJ49" s="22">
        <f t="shared" si="76"/>
        <v>0</v>
      </c>
      <c r="AK49" s="23"/>
      <c r="AL49" s="22"/>
      <c r="AM49" s="22">
        <f t="shared" si="77"/>
        <v>0</v>
      </c>
      <c r="AN49" s="23"/>
      <c r="AO49" s="22"/>
      <c r="AP49" s="22">
        <f t="shared" si="78"/>
        <v>0</v>
      </c>
      <c r="AQ49" s="23"/>
      <c r="AR49" s="22"/>
      <c r="AS49" s="22">
        <f t="shared" si="79"/>
        <v>0</v>
      </c>
      <c r="AT49" s="23"/>
      <c r="AU49" s="22"/>
      <c r="AV49" s="22">
        <f t="shared" si="80"/>
        <v>0</v>
      </c>
      <c r="AW49" s="23"/>
      <c r="AX49" s="22"/>
      <c r="AY49" s="22">
        <f t="shared" si="81"/>
        <v>0</v>
      </c>
      <c r="AZ49" s="23"/>
      <c r="BA49" s="22"/>
      <c r="BB49" s="22">
        <f t="shared" si="82"/>
        <v>0</v>
      </c>
      <c r="BC49" s="23"/>
      <c r="BD49" s="22"/>
      <c r="BE49" s="22">
        <f t="shared" si="83"/>
        <v>0</v>
      </c>
      <c r="BF49" s="23"/>
      <c r="BG49" s="22"/>
      <c r="BH49" s="22">
        <f t="shared" si="84"/>
        <v>0</v>
      </c>
      <c r="BI49" s="23"/>
      <c r="BJ49" s="22"/>
      <c r="BK49" s="22">
        <f t="shared" si="85"/>
        <v>0</v>
      </c>
      <c r="BL49" s="23"/>
      <c r="BM49" s="22"/>
      <c r="BN49" s="22">
        <f t="shared" si="86"/>
        <v>0</v>
      </c>
      <c r="BO49" s="23"/>
      <c r="BP49" s="24">
        <f t="shared" si="87"/>
        <v>1</v>
      </c>
      <c r="BQ49" s="24">
        <f t="shared" si="88"/>
        <v>0</v>
      </c>
    </row>
    <row r="50" ht="15.75" customHeight="1">
      <c r="A50" s="2"/>
      <c r="B50" s="31" t="s">
        <v>155</v>
      </c>
      <c r="C50" s="20" t="s">
        <v>156</v>
      </c>
      <c r="D50" s="20" t="s">
        <v>157</v>
      </c>
      <c r="E50" s="11" t="s">
        <v>73</v>
      </c>
      <c r="F50" s="11" t="s">
        <v>65</v>
      </c>
      <c r="G50" s="11">
        <v>1.0</v>
      </c>
      <c r="H50" s="22"/>
      <c r="I50" s="22">
        <f t="shared" si="67"/>
        <v>1</v>
      </c>
      <c r="J50" s="23"/>
      <c r="K50" s="21">
        <v>1.0</v>
      </c>
      <c r="L50" s="22">
        <f t="shared" si="68"/>
        <v>0</v>
      </c>
      <c r="M50" s="23"/>
      <c r="N50" s="22"/>
      <c r="O50" s="22">
        <f t="shared" si="69"/>
        <v>0</v>
      </c>
      <c r="P50" s="23"/>
      <c r="Q50" s="22"/>
      <c r="R50" s="22">
        <f t="shared" si="70"/>
        <v>0</v>
      </c>
      <c r="S50" s="23"/>
      <c r="T50" s="22"/>
      <c r="U50" s="22">
        <f t="shared" si="71"/>
        <v>0</v>
      </c>
      <c r="V50" s="23"/>
      <c r="W50" s="22"/>
      <c r="X50" s="22">
        <f t="shared" si="72"/>
        <v>0</v>
      </c>
      <c r="Y50" s="23"/>
      <c r="Z50" s="22"/>
      <c r="AA50" s="22">
        <f t="shared" si="73"/>
        <v>0</v>
      </c>
      <c r="AB50" s="23"/>
      <c r="AC50" s="22"/>
      <c r="AD50" s="22">
        <f t="shared" si="74"/>
        <v>0</v>
      </c>
      <c r="AE50" s="23"/>
      <c r="AF50" s="22"/>
      <c r="AG50" s="22">
        <f t="shared" si="75"/>
        <v>0</v>
      </c>
      <c r="AH50" s="23"/>
      <c r="AI50" s="22"/>
      <c r="AJ50" s="22">
        <f t="shared" si="76"/>
        <v>0</v>
      </c>
      <c r="AK50" s="23"/>
      <c r="AL50" s="22"/>
      <c r="AM50" s="22">
        <f t="shared" si="77"/>
        <v>0</v>
      </c>
      <c r="AN50" s="23"/>
      <c r="AO50" s="22"/>
      <c r="AP50" s="22">
        <f t="shared" si="78"/>
        <v>0</v>
      </c>
      <c r="AQ50" s="23"/>
      <c r="AR50" s="22"/>
      <c r="AS50" s="22">
        <f t="shared" si="79"/>
        <v>0</v>
      </c>
      <c r="AT50" s="23"/>
      <c r="AU50" s="22"/>
      <c r="AV50" s="22">
        <f t="shared" si="80"/>
        <v>0</v>
      </c>
      <c r="AW50" s="23"/>
      <c r="AX50" s="22"/>
      <c r="AY50" s="22">
        <f t="shared" si="81"/>
        <v>0</v>
      </c>
      <c r="AZ50" s="23"/>
      <c r="BA50" s="22"/>
      <c r="BB50" s="22">
        <f t="shared" si="82"/>
        <v>0</v>
      </c>
      <c r="BC50" s="23"/>
      <c r="BD50" s="22"/>
      <c r="BE50" s="22">
        <f t="shared" si="83"/>
        <v>0</v>
      </c>
      <c r="BF50" s="23"/>
      <c r="BG50" s="22"/>
      <c r="BH50" s="22">
        <f t="shared" si="84"/>
        <v>0</v>
      </c>
      <c r="BI50" s="23"/>
      <c r="BJ50" s="22"/>
      <c r="BK50" s="22">
        <f t="shared" si="85"/>
        <v>0</v>
      </c>
      <c r="BL50" s="23"/>
      <c r="BM50" s="22"/>
      <c r="BN50" s="22">
        <f t="shared" si="86"/>
        <v>0</v>
      </c>
      <c r="BO50" s="23"/>
      <c r="BP50" s="24">
        <f t="shared" si="87"/>
        <v>1</v>
      </c>
      <c r="BQ50" s="24">
        <f t="shared" si="88"/>
        <v>0</v>
      </c>
    </row>
    <row r="51" ht="96.0" customHeight="1">
      <c r="A51" s="2"/>
      <c r="B51" s="31" t="s">
        <v>158</v>
      </c>
      <c r="C51" s="20" t="s">
        <v>159</v>
      </c>
      <c r="D51" s="20" t="s">
        <v>160</v>
      </c>
      <c r="E51" s="11" t="s">
        <v>73</v>
      </c>
      <c r="F51" s="11" t="s">
        <v>65</v>
      </c>
      <c r="G51" s="11">
        <v>1.0</v>
      </c>
      <c r="H51" s="21"/>
      <c r="I51" s="22">
        <f t="shared" si="67"/>
        <v>1</v>
      </c>
      <c r="J51" s="23"/>
      <c r="K51" s="21">
        <v>0.5</v>
      </c>
      <c r="L51" s="22">
        <f t="shared" si="68"/>
        <v>0.5</v>
      </c>
      <c r="M51" s="23"/>
      <c r="N51" s="21">
        <v>0.5</v>
      </c>
      <c r="O51" s="22">
        <f t="shared" si="69"/>
        <v>0</v>
      </c>
      <c r="P51" s="23"/>
      <c r="Q51" s="22"/>
      <c r="R51" s="22">
        <f t="shared" si="70"/>
        <v>0</v>
      </c>
      <c r="S51" s="23"/>
      <c r="T51" s="22"/>
      <c r="U51" s="22">
        <f t="shared" si="71"/>
        <v>0</v>
      </c>
      <c r="V51" s="23"/>
      <c r="W51" s="22"/>
      <c r="X51" s="22">
        <f t="shared" si="72"/>
        <v>0</v>
      </c>
      <c r="Y51" s="23"/>
      <c r="Z51" s="22"/>
      <c r="AA51" s="22">
        <f t="shared" si="73"/>
        <v>0</v>
      </c>
      <c r="AB51" s="23"/>
      <c r="AC51" s="22"/>
      <c r="AD51" s="22">
        <f t="shared" si="74"/>
        <v>0</v>
      </c>
      <c r="AE51" s="23"/>
      <c r="AF51" s="22"/>
      <c r="AG51" s="22">
        <f t="shared" si="75"/>
        <v>0</v>
      </c>
      <c r="AH51" s="23"/>
      <c r="AI51" s="22"/>
      <c r="AJ51" s="22">
        <f t="shared" si="76"/>
        <v>0</v>
      </c>
      <c r="AK51" s="23"/>
      <c r="AL51" s="22"/>
      <c r="AM51" s="22">
        <f t="shared" si="77"/>
        <v>0</v>
      </c>
      <c r="AN51" s="23"/>
      <c r="AO51" s="22"/>
      <c r="AP51" s="22">
        <f t="shared" si="78"/>
        <v>0</v>
      </c>
      <c r="AQ51" s="23"/>
      <c r="AR51" s="22"/>
      <c r="AS51" s="22">
        <f t="shared" si="79"/>
        <v>0</v>
      </c>
      <c r="AT51" s="23"/>
      <c r="AU51" s="22"/>
      <c r="AV51" s="22">
        <f t="shared" si="80"/>
        <v>0</v>
      </c>
      <c r="AW51" s="23"/>
      <c r="AX51" s="22"/>
      <c r="AY51" s="22">
        <f t="shared" si="81"/>
        <v>0</v>
      </c>
      <c r="AZ51" s="23"/>
      <c r="BA51" s="22"/>
      <c r="BB51" s="22">
        <f t="shared" si="82"/>
        <v>0</v>
      </c>
      <c r="BC51" s="23"/>
      <c r="BD51" s="22"/>
      <c r="BE51" s="22">
        <f t="shared" si="83"/>
        <v>0</v>
      </c>
      <c r="BF51" s="23"/>
      <c r="BG51" s="22"/>
      <c r="BH51" s="22">
        <f t="shared" si="84"/>
        <v>0</v>
      </c>
      <c r="BI51" s="23"/>
      <c r="BJ51" s="22"/>
      <c r="BK51" s="22">
        <f t="shared" si="85"/>
        <v>0</v>
      </c>
      <c r="BL51" s="23"/>
      <c r="BM51" s="22"/>
      <c r="BN51" s="22">
        <f t="shared" si="86"/>
        <v>0</v>
      </c>
      <c r="BO51" s="23"/>
      <c r="BP51" s="24">
        <f t="shared" si="87"/>
        <v>1</v>
      </c>
      <c r="BQ51" s="24">
        <f t="shared" si="88"/>
        <v>0</v>
      </c>
    </row>
    <row r="52" ht="66.0" customHeight="1">
      <c r="A52" s="2"/>
      <c r="B52" s="31"/>
      <c r="C52" s="20"/>
      <c r="D52" s="20" t="s">
        <v>161</v>
      </c>
      <c r="E52" s="11" t="s">
        <v>73</v>
      </c>
      <c r="F52" s="11" t="s">
        <v>65</v>
      </c>
      <c r="G52" s="11">
        <v>0.5</v>
      </c>
      <c r="H52" s="21"/>
      <c r="I52" s="22">
        <f t="shared" si="67"/>
        <v>0.5</v>
      </c>
      <c r="J52" s="23"/>
      <c r="K52" s="21"/>
      <c r="L52" s="22">
        <f t="shared" si="68"/>
        <v>0.5</v>
      </c>
      <c r="M52" s="23"/>
      <c r="N52" s="21">
        <v>0.5</v>
      </c>
      <c r="O52" s="22">
        <f t="shared" si="69"/>
        <v>0</v>
      </c>
      <c r="P52" s="23"/>
      <c r="Q52" s="22"/>
      <c r="R52" s="22">
        <f t="shared" si="70"/>
        <v>0</v>
      </c>
      <c r="S52" s="23"/>
      <c r="T52" s="22"/>
      <c r="U52" s="22">
        <f t="shared" si="71"/>
        <v>0</v>
      </c>
      <c r="V52" s="23"/>
      <c r="W52" s="22"/>
      <c r="X52" s="22">
        <f t="shared" si="72"/>
        <v>0</v>
      </c>
      <c r="Y52" s="23"/>
      <c r="Z52" s="22"/>
      <c r="AA52" s="22">
        <f t="shared" si="73"/>
        <v>0</v>
      </c>
      <c r="AB52" s="23"/>
      <c r="AC52" s="22"/>
      <c r="AD52" s="22">
        <f t="shared" si="74"/>
        <v>0</v>
      </c>
      <c r="AE52" s="23"/>
      <c r="AF52" s="22"/>
      <c r="AG52" s="22">
        <f t="shared" si="75"/>
        <v>0</v>
      </c>
      <c r="AH52" s="23"/>
      <c r="AI52" s="22"/>
      <c r="AJ52" s="22">
        <f t="shared" si="76"/>
        <v>0</v>
      </c>
      <c r="AK52" s="23"/>
      <c r="AL52" s="22"/>
      <c r="AM52" s="22">
        <f t="shared" si="77"/>
        <v>0</v>
      </c>
      <c r="AN52" s="23"/>
      <c r="AO52" s="22"/>
      <c r="AP52" s="22">
        <f t="shared" si="78"/>
        <v>0</v>
      </c>
      <c r="AQ52" s="23"/>
      <c r="AR52" s="22"/>
      <c r="AS52" s="22">
        <f t="shared" si="79"/>
        <v>0</v>
      </c>
      <c r="AT52" s="23"/>
      <c r="AU52" s="22"/>
      <c r="AV52" s="22">
        <f t="shared" si="80"/>
        <v>0</v>
      </c>
      <c r="AW52" s="23"/>
      <c r="AX52" s="22"/>
      <c r="AY52" s="22">
        <f t="shared" si="81"/>
        <v>0</v>
      </c>
      <c r="AZ52" s="23"/>
      <c r="BA52" s="22"/>
      <c r="BB52" s="22">
        <f t="shared" si="82"/>
        <v>0</v>
      </c>
      <c r="BC52" s="23"/>
      <c r="BD52" s="22"/>
      <c r="BE52" s="22">
        <f t="shared" si="83"/>
        <v>0</v>
      </c>
      <c r="BF52" s="23"/>
      <c r="BG52" s="22"/>
      <c r="BH52" s="22">
        <f t="shared" si="84"/>
        <v>0</v>
      </c>
      <c r="BI52" s="23"/>
      <c r="BJ52" s="22"/>
      <c r="BK52" s="22">
        <f t="shared" si="85"/>
        <v>0</v>
      </c>
      <c r="BL52" s="23"/>
      <c r="BM52" s="22"/>
      <c r="BN52" s="22">
        <f t="shared" si="86"/>
        <v>0</v>
      </c>
      <c r="BO52" s="23"/>
      <c r="BP52" s="24">
        <f t="shared" si="87"/>
        <v>0.5</v>
      </c>
      <c r="BQ52" s="24">
        <f t="shared" si="88"/>
        <v>0</v>
      </c>
    </row>
    <row r="53" ht="49.5" customHeight="1">
      <c r="A53" s="2"/>
      <c r="B53" s="31"/>
      <c r="C53" s="20"/>
      <c r="D53" s="20" t="s">
        <v>162</v>
      </c>
      <c r="E53" s="11" t="s">
        <v>73</v>
      </c>
      <c r="F53" s="11" t="s">
        <v>65</v>
      </c>
      <c r="G53" s="11">
        <v>0.5</v>
      </c>
      <c r="H53" s="22"/>
      <c r="I53" s="22">
        <f t="shared" si="67"/>
        <v>0.5</v>
      </c>
      <c r="J53" s="23"/>
      <c r="K53" s="21"/>
      <c r="L53" s="22">
        <f t="shared" si="68"/>
        <v>0.5</v>
      </c>
      <c r="M53" s="23"/>
      <c r="N53" s="21">
        <v>0.5</v>
      </c>
      <c r="O53" s="22">
        <f t="shared" si="69"/>
        <v>0</v>
      </c>
      <c r="P53" s="23"/>
      <c r="Q53" s="22"/>
      <c r="R53" s="22">
        <f t="shared" si="70"/>
        <v>0</v>
      </c>
      <c r="S53" s="23"/>
      <c r="T53" s="22"/>
      <c r="U53" s="22">
        <f t="shared" si="71"/>
        <v>0</v>
      </c>
      <c r="V53" s="23"/>
      <c r="W53" s="22"/>
      <c r="X53" s="22">
        <f t="shared" si="72"/>
        <v>0</v>
      </c>
      <c r="Y53" s="23"/>
      <c r="Z53" s="22"/>
      <c r="AA53" s="22">
        <f t="shared" si="73"/>
        <v>0</v>
      </c>
      <c r="AB53" s="23"/>
      <c r="AC53" s="22"/>
      <c r="AD53" s="22">
        <f t="shared" si="74"/>
        <v>0</v>
      </c>
      <c r="AE53" s="23"/>
      <c r="AF53" s="22"/>
      <c r="AG53" s="22">
        <f t="shared" si="75"/>
        <v>0</v>
      </c>
      <c r="AH53" s="23"/>
      <c r="AI53" s="22"/>
      <c r="AJ53" s="22">
        <f t="shared" si="76"/>
        <v>0</v>
      </c>
      <c r="AK53" s="23"/>
      <c r="AL53" s="22"/>
      <c r="AM53" s="22">
        <f t="shared" si="77"/>
        <v>0</v>
      </c>
      <c r="AN53" s="23"/>
      <c r="AO53" s="22"/>
      <c r="AP53" s="22">
        <f t="shared" si="78"/>
        <v>0</v>
      </c>
      <c r="AQ53" s="23"/>
      <c r="AR53" s="22"/>
      <c r="AS53" s="22">
        <f t="shared" si="79"/>
        <v>0</v>
      </c>
      <c r="AT53" s="23"/>
      <c r="AU53" s="22"/>
      <c r="AV53" s="22">
        <f t="shared" si="80"/>
        <v>0</v>
      </c>
      <c r="AW53" s="23"/>
      <c r="AX53" s="22"/>
      <c r="AY53" s="22">
        <f t="shared" si="81"/>
        <v>0</v>
      </c>
      <c r="AZ53" s="23"/>
      <c r="BA53" s="22"/>
      <c r="BB53" s="22">
        <f t="shared" si="82"/>
        <v>0</v>
      </c>
      <c r="BC53" s="23"/>
      <c r="BD53" s="22"/>
      <c r="BE53" s="22">
        <f t="shared" si="83"/>
        <v>0</v>
      </c>
      <c r="BF53" s="23"/>
      <c r="BG53" s="22"/>
      <c r="BH53" s="22">
        <f t="shared" si="84"/>
        <v>0</v>
      </c>
      <c r="BI53" s="23"/>
      <c r="BJ53" s="22"/>
      <c r="BK53" s="22">
        <f t="shared" si="85"/>
        <v>0</v>
      </c>
      <c r="BL53" s="23"/>
      <c r="BM53" s="22"/>
      <c r="BN53" s="22">
        <f t="shared" si="86"/>
        <v>0</v>
      </c>
      <c r="BO53" s="23"/>
      <c r="BP53" s="24">
        <f t="shared" si="87"/>
        <v>0.5</v>
      </c>
      <c r="BQ53" s="24">
        <f t="shared" si="88"/>
        <v>0</v>
      </c>
    </row>
    <row r="54" ht="15.75" customHeight="1">
      <c r="A54" s="2"/>
      <c r="B54" s="31" t="s">
        <v>163</v>
      </c>
      <c r="C54" s="20" t="s">
        <v>164</v>
      </c>
      <c r="D54" s="20" t="s">
        <v>165</v>
      </c>
      <c r="E54" s="11" t="s">
        <v>64</v>
      </c>
      <c r="F54" s="11" t="s">
        <v>65</v>
      </c>
      <c r="G54" s="11">
        <v>3.0</v>
      </c>
      <c r="H54" s="22"/>
      <c r="I54" s="22">
        <f t="shared" si="67"/>
        <v>3</v>
      </c>
      <c r="J54" s="23"/>
      <c r="K54" s="21">
        <v>1.5</v>
      </c>
      <c r="L54" s="22">
        <f t="shared" si="68"/>
        <v>1.5</v>
      </c>
      <c r="M54" s="23"/>
      <c r="N54" s="21">
        <v>1.5</v>
      </c>
      <c r="O54" s="22">
        <f t="shared" si="69"/>
        <v>0</v>
      </c>
      <c r="P54" s="23"/>
      <c r="Q54" s="22"/>
      <c r="R54" s="22">
        <f t="shared" si="70"/>
        <v>0</v>
      </c>
      <c r="S54" s="23"/>
      <c r="T54" s="22"/>
      <c r="U54" s="22">
        <f t="shared" si="71"/>
        <v>0</v>
      </c>
      <c r="V54" s="23"/>
      <c r="W54" s="22"/>
      <c r="X54" s="22">
        <f t="shared" si="72"/>
        <v>0</v>
      </c>
      <c r="Y54" s="23"/>
      <c r="Z54" s="22"/>
      <c r="AA54" s="22">
        <f t="shared" si="73"/>
        <v>0</v>
      </c>
      <c r="AB54" s="23"/>
      <c r="AC54" s="22"/>
      <c r="AD54" s="22">
        <f t="shared" si="74"/>
        <v>0</v>
      </c>
      <c r="AE54" s="23"/>
      <c r="AF54" s="22"/>
      <c r="AG54" s="22">
        <f t="shared" si="75"/>
        <v>0</v>
      </c>
      <c r="AH54" s="23"/>
      <c r="AI54" s="22"/>
      <c r="AJ54" s="22">
        <f t="shared" si="76"/>
        <v>0</v>
      </c>
      <c r="AK54" s="23"/>
      <c r="AL54" s="22"/>
      <c r="AM54" s="22">
        <f t="shared" si="77"/>
        <v>0</v>
      </c>
      <c r="AN54" s="23"/>
      <c r="AO54" s="22"/>
      <c r="AP54" s="22">
        <f t="shared" si="78"/>
        <v>0</v>
      </c>
      <c r="AQ54" s="23"/>
      <c r="AR54" s="22"/>
      <c r="AS54" s="22">
        <f t="shared" si="79"/>
        <v>0</v>
      </c>
      <c r="AT54" s="23"/>
      <c r="AU54" s="22"/>
      <c r="AV54" s="22">
        <f t="shared" si="80"/>
        <v>0</v>
      </c>
      <c r="AW54" s="23"/>
      <c r="AX54" s="22"/>
      <c r="AY54" s="22">
        <f t="shared" si="81"/>
        <v>0</v>
      </c>
      <c r="AZ54" s="23"/>
      <c r="BA54" s="22"/>
      <c r="BB54" s="22">
        <f t="shared" si="82"/>
        <v>0</v>
      </c>
      <c r="BC54" s="23"/>
      <c r="BD54" s="22"/>
      <c r="BE54" s="22">
        <f t="shared" si="83"/>
        <v>0</v>
      </c>
      <c r="BF54" s="23"/>
      <c r="BG54" s="22"/>
      <c r="BH54" s="22">
        <f t="shared" si="84"/>
        <v>0</v>
      </c>
      <c r="BI54" s="23"/>
      <c r="BJ54" s="22"/>
      <c r="BK54" s="22">
        <f t="shared" si="85"/>
        <v>0</v>
      </c>
      <c r="BL54" s="23"/>
      <c r="BM54" s="22"/>
      <c r="BN54" s="22">
        <f t="shared" si="86"/>
        <v>0</v>
      </c>
      <c r="BO54" s="23"/>
      <c r="BP54" s="24">
        <f t="shared" si="87"/>
        <v>3</v>
      </c>
      <c r="BQ54" s="24">
        <f t="shared" si="88"/>
        <v>0</v>
      </c>
    </row>
    <row r="55" ht="15.75" customHeight="1">
      <c r="A55" s="2"/>
      <c r="B55" s="31"/>
      <c r="C55" s="20"/>
      <c r="D55" s="20" t="s">
        <v>166</v>
      </c>
      <c r="E55" s="11" t="s">
        <v>64</v>
      </c>
      <c r="F55" s="11" t="s">
        <v>65</v>
      </c>
      <c r="G55" s="11">
        <v>3.0</v>
      </c>
      <c r="H55" s="22"/>
      <c r="I55" s="22">
        <f t="shared" si="67"/>
        <v>3</v>
      </c>
      <c r="J55" s="23"/>
      <c r="K55" s="22"/>
      <c r="L55" s="22">
        <f t="shared" si="68"/>
        <v>3</v>
      </c>
      <c r="M55" s="23"/>
      <c r="N55" s="21">
        <v>2.5</v>
      </c>
      <c r="O55" s="22">
        <f t="shared" si="69"/>
        <v>0.5</v>
      </c>
      <c r="P55" s="23"/>
      <c r="Q55" s="21">
        <v>0.5</v>
      </c>
      <c r="R55" s="22">
        <f t="shared" si="70"/>
        <v>0</v>
      </c>
      <c r="S55" s="23"/>
      <c r="T55" s="22"/>
      <c r="U55" s="22">
        <f t="shared" si="71"/>
        <v>0</v>
      </c>
      <c r="V55" s="23"/>
      <c r="W55" s="22"/>
      <c r="X55" s="22">
        <f t="shared" si="72"/>
        <v>0</v>
      </c>
      <c r="Y55" s="23"/>
      <c r="Z55" s="22"/>
      <c r="AA55" s="22">
        <f t="shared" si="73"/>
        <v>0</v>
      </c>
      <c r="AB55" s="23"/>
      <c r="AC55" s="22"/>
      <c r="AD55" s="22">
        <f t="shared" si="74"/>
        <v>0</v>
      </c>
      <c r="AE55" s="23"/>
      <c r="AF55" s="22"/>
      <c r="AG55" s="22">
        <f t="shared" si="75"/>
        <v>0</v>
      </c>
      <c r="AH55" s="23"/>
      <c r="AI55" s="22"/>
      <c r="AJ55" s="22">
        <f t="shared" si="76"/>
        <v>0</v>
      </c>
      <c r="AK55" s="23"/>
      <c r="AL55" s="22"/>
      <c r="AM55" s="22">
        <f t="shared" si="77"/>
        <v>0</v>
      </c>
      <c r="AN55" s="23"/>
      <c r="AO55" s="22"/>
      <c r="AP55" s="22">
        <f t="shared" si="78"/>
        <v>0</v>
      </c>
      <c r="AQ55" s="23"/>
      <c r="AR55" s="22"/>
      <c r="AS55" s="22">
        <f t="shared" si="79"/>
        <v>0</v>
      </c>
      <c r="AT55" s="23"/>
      <c r="AU55" s="22"/>
      <c r="AV55" s="22">
        <f t="shared" si="80"/>
        <v>0</v>
      </c>
      <c r="AW55" s="23"/>
      <c r="AX55" s="22"/>
      <c r="AY55" s="22">
        <f t="shared" si="81"/>
        <v>0</v>
      </c>
      <c r="AZ55" s="23"/>
      <c r="BA55" s="22"/>
      <c r="BB55" s="22">
        <f t="shared" si="82"/>
        <v>0</v>
      </c>
      <c r="BC55" s="23"/>
      <c r="BD55" s="22"/>
      <c r="BE55" s="22">
        <f t="shared" si="83"/>
        <v>0</v>
      </c>
      <c r="BF55" s="23"/>
      <c r="BG55" s="22"/>
      <c r="BH55" s="22">
        <f t="shared" si="84"/>
        <v>0</v>
      </c>
      <c r="BI55" s="23"/>
      <c r="BJ55" s="22"/>
      <c r="BK55" s="22">
        <f t="shared" si="85"/>
        <v>0</v>
      </c>
      <c r="BL55" s="23"/>
      <c r="BM55" s="22"/>
      <c r="BN55" s="22">
        <f t="shared" si="86"/>
        <v>0</v>
      </c>
      <c r="BO55" s="23"/>
      <c r="BP55" s="24">
        <f t="shared" si="87"/>
        <v>3</v>
      </c>
      <c r="BQ55" s="24">
        <f t="shared" si="88"/>
        <v>0</v>
      </c>
    </row>
    <row r="56" ht="15.75" customHeight="1">
      <c r="A56" s="2"/>
      <c r="B56" s="31" t="s">
        <v>167</v>
      </c>
      <c r="C56" s="20" t="s">
        <v>168</v>
      </c>
      <c r="D56" s="20" t="s">
        <v>169</v>
      </c>
      <c r="E56" s="11" t="s">
        <v>115</v>
      </c>
      <c r="F56" s="11" t="s">
        <v>65</v>
      </c>
      <c r="G56" s="11">
        <v>6.0</v>
      </c>
      <c r="H56" s="22"/>
      <c r="I56" s="22">
        <f t="shared" si="67"/>
        <v>6</v>
      </c>
      <c r="J56" s="23"/>
      <c r="K56" s="22"/>
      <c r="L56" s="22">
        <f t="shared" si="68"/>
        <v>6</v>
      </c>
      <c r="M56" s="23"/>
      <c r="N56" s="22"/>
      <c r="O56" s="22">
        <f t="shared" si="69"/>
        <v>6</v>
      </c>
      <c r="P56" s="23"/>
      <c r="Q56" s="21">
        <v>2.5</v>
      </c>
      <c r="R56" s="22">
        <f t="shared" si="70"/>
        <v>3.5</v>
      </c>
      <c r="S56" s="23"/>
      <c r="T56" s="21">
        <v>3.0</v>
      </c>
      <c r="U56" s="22">
        <f t="shared" si="71"/>
        <v>0.5</v>
      </c>
      <c r="V56" s="23"/>
      <c r="W56" s="21">
        <v>0.5</v>
      </c>
      <c r="X56" s="22">
        <f t="shared" si="72"/>
        <v>0</v>
      </c>
      <c r="Y56" s="23"/>
      <c r="Z56" s="22"/>
      <c r="AA56" s="22">
        <f t="shared" si="73"/>
        <v>0</v>
      </c>
      <c r="AB56" s="23"/>
      <c r="AC56" s="22"/>
      <c r="AD56" s="22">
        <f t="shared" si="74"/>
        <v>0</v>
      </c>
      <c r="AE56" s="23"/>
      <c r="AF56" s="22"/>
      <c r="AG56" s="22">
        <f t="shared" si="75"/>
        <v>0</v>
      </c>
      <c r="AH56" s="23"/>
      <c r="AI56" s="22"/>
      <c r="AJ56" s="22">
        <f t="shared" si="76"/>
        <v>0</v>
      </c>
      <c r="AK56" s="23"/>
      <c r="AL56" s="22"/>
      <c r="AM56" s="22">
        <f t="shared" si="77"/>
        <v>0</v>
      </c>
      <c r="AN56" s="23"/>
      <c r="AO56" s="22"/>
      <c r="AP56" s="22">
        <f t="shared" si="78"/>
        <v>0</v>
      </c>
      <c r="AQ56" s="23"/>
      <c r="AR56" s="22"/>
      <c r="AS56" s="22">
        <f t="shared" si="79"/>
        <v>0</v>
      </c>
      <c r="AT56" s="23"/>
      <c r="AU56" s="22"/>
      <c r="AV56" s="22">
        <f t="shared" si="80"/>
        <v>0</v>
      </c>
      <c r="AW56" s="23"/>
      <c r="AX56" s="22"/>
      <c r="AY56" s="22">
        <f t="shared" si="81"/>
        <v>0</v>
      </c>
      <c r="AZ56" s="23"/>
      <c r="BA56" s="22"/>
      <c r="BB56" s="22">
        <f t="shared" si="82"/>
        <v>0</v>
      </c>
      <c r="BC56" s="23"/>
      <c r="BD56" s="22"/>
      <c r="BE56" s="22">
        <f t="shared" si="83"/>
        <v>0</v>
      </c>
      <c r="BF56" s="23"/>
      <c r="BG56" s="22"/>
      <c r="BH56" s="22">
        <f t="shared" si="84"/>
        <v>0</v>
      </c>
      <c r="BI56" s="23"/>
      <c r="BJ56" s="22"/>
      <c r="BK56" s="22">
        <f t="shared" si="85"/>
        <v>0</v>
      </c>
      <c r="BL56" s="23"/>
      <c r="BM56" s="22"/>
      <c r="BN56" s="22">
        <f t="shared" si="86"/>
        <v>0</v>
      </c>
      <c r="BO56" s="23"/>
      <c r="BP56" s="24">
        <f t="shared" si="87"/>
        <v>6</v>
      </c>
      <c r="BQ56" s="24">
        <f t="shared" si="88"/>
        <v>0</v>
      </c>
    </row>
    <row r="57" ht="15.75" customHeight="1">
      <c r="A57" s="2"/>
      <c r="B57" s="31" t="s">
        <v>170</v>
      </c>
      <c r="C57" s="20" t="s">
        <v>171</v>
      </c>
      <c r="D57" s="20" t="s">
        <v>172</v>
      </c>
      <c r="E57" s="11" t="s">
        <v>115</v>
      </c>
      <c r="F57" s="11" t="s">
        <v>65</v>
      </c>
      <c r="G57" s="11">
        <v>6.0</v>
      </c>
      <c r="H57" s="22"/>
      <c r="I57" s="22">
        <f t="shared" si="67"/>
        <v>6</v>
      </c>
      <c r="J57" s="23"/>
      <c r="K57" s="22"/>
      <c r="L57" s="22">
        <f t="shared" si="68"/>
        <v>6</v>
      </c>
      <c r="M57" s="23"/>
      <c r="N57" s="22"/>
      <c r="O57" s="22">
        <f t="shared" si="69"/>
        <v>6</v>
      </c>
      <c r="P57" s="23"/>
      <c r="Q57" s="22"/>
      <c r="R57" s="22">
        <f t="shared" si="70"/>
        <v>6</v>
      </c>
      <c r="S57" s="23"/>
      <c r="T57" s="22"/>
      <c r="U57" s="22">
        <f t="shared" si="71"/>
        <v>6</v>
      </c>
      <c r="V57" s="23"/>
      <c r="W57" s="21">
        <v>2.5</v>
      </c>
      <c r="X57" s="22">
        <f t="shared" si="72"/>
        <v>3.5</v>
      </c>
      <c r="Y57" s="23"/>
      <c r="Z57" s="21">
        <v>3.0</v>
      </c>
      <c r="AA57" s="22">
        <f t="shared" si="73"/>
        <v>0.5</v>
      </c>
      <c r="AB57" s="23"/>
      <c r="AC57" s="21">
        <v>0.5</v>
      </c>
      <c r="AD57" s="22">
        <f t="shared" si="74"/>
        <v>0</v>
      </c>
      <c r="AE57" s="23"/>
      <c r="AF57" s="22"/>
      <c r="AG57" s="22">
        <f t="shared" si="75"/>
        <v>0</v>
      </c>
      <c r="AH57" s="23"/>
      <c r="AI57" s="22"/>
      <c r="AJ57" s="22">
        <f t="shared" si="76"/>
        <v>0</v>
      </c>
      <c r="AK57" s="23"/>
      <c r="AL57" s="22"/>
      <c r="AM57" s="22">
        <f t="shared" si="77"/>
        <v>0</v>
      </c>
      <c r="AN57" s="23"/>
      <c r="AO57" s="22"/>
      <c r="AP57" s="22">
        <f t="shared" si="78"/>
        <v>0</v>
      </c>
      <c r="AQ57" s="23"/>
      <c r="AR57" s="22"/>
      <c r="AS57" s="22">
        <f t="shared" si="79"/>
        <v>0</v>
      </c>
      <c r="AT57" s="23"/>
      <c r="AU57" s="22"/>
      <c r="AV57" s="22">
        <f t="shared" si="80"/>
        <v>0</v>
      </c>
      <c r="AW57" s="23"/>
      <c r="AX57" s="22"/>
      <c r="AY57" s="22">
        <f t="shared" si="81"/>
        <v>0</v>
      </c>
      <c r="AZ57" s="23"/>
      <c r="BA57" s="22"/>
      <c r="BB57" s="22">
        <f t="shared" si="82"/>
        <v>0</v>
      </c>
      <c r="BC57" s="23"/>
      <c r="BD57" s="22"/>
      <c r="BE57" s="22">
        <f t="shared" si="83"/>
        <v>0</v>
      </c>
      <c r="BF57" s="23"/>
      <c r="BG57" s="22"/>
      <c r="BH57" s="22">
        <f t="shared" si="84"/>
        <v>0</v>
      </c>
      <c r="BI57" s="23"/>
      <c r="BJ57" s="22"/>
      <c r="BK57" s="22">
        <f t="shared" si="85"/>
        <v>0</v>
      </c>
      <c r="BL57" s="23"/>
      <c r="BM57" s="22"/>
      <c r="BN57" s="22">
        <f t="shared" si="86"/>
        <v>0</v>
      </c>
      <c r="BO57" s="23"/>
      <c r="BP57" s="24">
        <f t="shared" si="87"/>
        <v>6</v>
      </c>
      <c r="BQ57" s="24">
        <f t="shared" si="88"/>
        <v>0</v>
      </c>
    </row>
    <row r="58" ht="15.75" customHeight="1">
      <c r="A58" s="2"/>
      <c r="B58" s="31" t="s">
        <v>173</v>
      </c>
      <c r="C58" s="20" t="s">
        <v>174</v>
      </c>
      <c r="D58" s="20" t="s">
        <v>175</v>
      </c>
      <c r="E58" s="11" t="s">
        <v>73</v>
      </c>
      <c r="F58" s="11" t="s">
        <v>65</v>
      </c>
      <c r="G58" s="11">
        <v>1.0</v>
      </c>
      <c r="H58" s="22"/>
      <c r="I58" s="22">
        <f t="shared" si="67"/>
        <v>1</v>
      </c>
      <c r="J58" s="23"/>
      <c r="K58" s="22"/>
      <c r="L58" s="22">
        <f t="shared" si="68"/>
        <v>1</v>
      </c>
      <c r="M58" s="23"/>
      <c r="N58" s="21">
        <v>0.5</v>
      </c>
      <c r="O58" s="22">
        <f t="shared" si="69"/>
        <v>0.5</v>
      </c>
      <c r="P58" s="23"/>
      <c r="Q58" s="21">
        <v>0.5</v>
      </c>
      <c r="R58" s="22">
        <f t="shared" si="70"/>
        <v>0</v>
      </c>
      <c r="S58" s="23"/>
      <c r="T58" s="22"/>
      <c r="U58" s="22">
        <f t="shared" si="71"/>
        <v>0</v>
      </c>
      <c r="V58" s="23"/>
      <c r="W58" s="22"/>
      <c r="X58" s="22">
        <f t="shared" si="72"/>
        <v>0</v>
      </c>
      <c r="Y58" s="23"/>
      <c r="Z58" s="22"/>
      <c r="AA58" s="22">
        <f t="shared" si="73"/>
        <v>0</v>
      </c>
      <c r="AB58" s="23"/>
      <c r="AC58" s="22"/>
      <c r="AD58" s="22">
        <f t="shared" si="74"/>
        <v>0</v>
      </c>
      <c r="AE58" s="23"/>
      <c r="AF58" s="22"/>
      <c r="AG58" s="22">
        <f t="shared" si="75"/>
        <v>0</v>
      </c>
      <c r="AH58" s="23"/>
      <c r="AI58" s="22"/>
      <c r="AJ58" s="22">
        <f t="shared" si="76"/>
        <v>0</v>
      </c>
      <c r="AK58" s="23"/>
      <c r="AL58" s="22"/>
      <c r="AM58" s="22">
        <f t="shared" si="77"/>
        <v>0</v>
      </c>
      <c r="AN58" s="23"/>
      <c r="AO58" s="22"/>
      <c r="AP58" s="22">
        <f t="shared" si="78"/>
        <v>0</v>
      </c>
      <c r="AQ58" s="23"/>
      <c r="AR58" s="22"/>
      <c r="AS58" s="22">
        <f t="shared" si="79"/>
        <v>0</v>
      </c>
      <c r="AT58" s="23"/>
      <c r="AU58" s="22"/>
      <c r="AV58" s="22">
        <f t="shared" si="80"/>
        <v>0</v>
      </c>
      <c r="AW58" s="23"/>
      <c r="AX58" s="22"/>
      <c r="AY58" s="22">
        <f t="shared" si="81"/>
        <v>0</v>
      </c>
      <c r="AZ58" s="23"/>
      <c r="BA58" s="22"/>
      <c r="BB58" s="22">
        <f t="shared" si="82"/>
        <v>0</v>
      </c>
      <c r="BC58" s="23"/>
      <c r="BD58" s="22"/>
      <c r="BE58" s="22">
        <f t="shared" si="83"/>
        <v>0</v>
      </c>
      <c r="BF58" s="23"/>
      <c r="BG58" s="22"/>
      <c r="BH58" s="22">
        <f t="shared" si="84"/>
        <v>0</v>
      </c>
      <c r="BI58" s="23"/>
      <c r="BJ58" s="22"/>
      <c r="BK58" s="22">
        <f t="shared" si="85"/>
        <v>0</v>
      </c>
      <c r="BL58" s="23"/>
      <c r="BM58" s="22"/>
      <c r="BN58" s="22">
        <f t="shared" si="86"/>
        <v>0</v>
      </c>
      <c r="BO58" s="23"/>
      <c r="BP58" s="24">
        <f t="shared" si="87"/>
        <v>1</v>
      </c>
      <c r="BQ58" s="24">
        <f t="shared" si="88"/>
        <v>0</v>
      </c>
    </row>
    <row r="59" ht="15.75" customHeight="1">
      <c r="A59" s="2"/>
      <c r="B59" s="31"/>
      <c r="C59" s="20"/>
      <c r="D59" s="20" t="s">
        <v>176</v>
      </c>
      <c r="E59" s="11" t="s">
        <v>73</v>
      </c>
      <c r="F59" s="11" t="s">
        <v>65</v>
      </c>
      <c r="G59" s="11">
        <v>1.0</v>
      </c>
      <c r="H59" s="22"/>
      <c r="I59" s="22">
        <f t="shared" si="67"/>
        <v>1</v>
      </c>
      <c r="J59" s="23"/>
      <c r="K59" s="22"/>
      <c r="L59" s="22">
        <f t="shared" si="68"/>
        <v>1</v>
      </c>
      <c r="M59" s="23"/>
      <c r="N59" s="22"/>
      <c r="O59" s="22">
        <f t="shared" si="69"/>
        <v>1</v>
      </c>
      <c r="P59" s="23"/>
      <c r="Q59" s="21">
        <v>1.0</v>
      </c>
      <c r="R59" s="22">
        <f t="shared" si="70"/>
        <v>0</v>
      </c>
      <c r="S59" s="23"/>
      <c r="T59" s="22"/>
      <c r="U59" s="22">
        <f t="shared" si="71"/>
        <v>0</v>
      </c>
      <c r="V59" s="23"/>
      <c r="W59" s="22"/>
      <c r="X59" s="22">
        <f t="shared" si="72"/>
        <v>0</v>
      </c>
      <c r="Y59" s="23"/>
      <c r="Z59" s="22"/>
      <c r="AA59" s="22">
        <f t="shared" si="73"/>
        <v>0</v>
      </c>
      <c r="AB59" s="23"/>
      <c r="AC59" s="22"/>
      <c r="AD59" s="22">
        <f t="shared" si="74"/>
        <v>0</v>
      </c>
      <c r="AE59" s="23"/>
      <c r="AF59" s="22"/>
      <c r="AG59" s="22">
        <f t="shared" si="75"/>
        <v>0</v>
      </c>
      <c r="AH59" s="23"/>
      <c r="AI59" s="22"/>
      <c r="AJ59" s="22">
        <f t="shared" si="76"/>
        <v>0</v>
      </c>
      <c r="AK59" s="23"/>
      <c r="AL59" s="22"/>
      <c r="AM59" s="22">
        <f t="shared" si="77"/>
        <v>0</v>
      </c>
      <c r="AN59" s="23"/>
      <c r="AO59" s="22"/>
      <c r="AP59" s="22">
        <f t="shared" si="78"/>
        <v>0</v>
      </c>
      <c r="AQ59" s="23"/>
      <c r="AR59" s="22"/>
      <c r="AS59" s="22">
        <f t="shared" si="79"/>
        <v>0</v>
      </c>
      <c r="AT59" s="23"/>
      <c r="AU59" s="22"/>
      <c r="AV59" s="22">
        <f t="shared" si="80"/>
        <v>0</v>
      </c>
      <c r="AW59" s="23"/>
      <c r="AX59" s="22"/>
      <c r="AY59" s="22">
        <f t="shared" si="81"/>
        <v>0</v>
      </c>
      <c r="AZ59" s="23"/>
      <c r="BA59" s="22"/>
      <c r="BB59" s="22">
        <f t="shared" si="82"/>
        <v>0</v>
      </c>
      <c r="BC59" s="23"/>
      <c r="BD59" s="22"/>
      <c r="BE59" s="22">
        <f t="shared" si="83"/>
        <v>0</v>
      </c>
      <c r="BF59" s="23"/>
      <c r="BG59" s="22"/>
      <c r="BH59" s="22">
        <f t="shared" si="84"/>
        <v>0</v>
      </c>
      <c r="BI59" s="23"/>
      <c r="BJ59" s="22"/>
      <c r="BK59" s="22">
        <f t="shared" si="85"/>
        <v>0</v>
      </c>
      <c r="BL59" s="23"/>
      <c r="BM59" s="22"/>
      <c r="BN59" s="22">
        <f t="shared" si="86"/>
        <v>0</v>
      </c>
      <c r="BO59" s="23"/>
      <c r="BP59" s="24">
        <f t="shared" si="87"/>
        <v>1</v>
      </c>
      <c r="BQ59" s="24">
        <f t="shared" si="88"/>
        <v>0</v>
      </c>
    </row>
    <row r="60" ht="15.75" customHeight="1">
      <c r="A60" s="2"/>
      <c r="B60" s="31" t="s">
        <v>177</v>
      </c>
      <c r="C60" s="20" t="s">
        <v>178</v>
      </c>
      <c r="D60" s="20" t="s">
        <v>179</v>
      </c>
      <c r="E60" s="11" t="s">
        <v>73</v>
      </c>
      <c r="F60" s="11" t="s">
        <v>65</v>
      </c>
      <c r="G60" s="11">
        <v>1.5</v>
      </c>
      <c r="H60" s="22"/>
      <c r="I60" s="22">
        <f t="shared" si="67"/>
        <v>1.5</v>
      </c>
      <c r="J60" s="23"/>
      <c r="K60" s="22"/>
      <c r="L60" s="22">
        <f t="shared" si="68"/>
        <v>1.5</v>
      </c>
      <c r="M60" s="23"/>
      <c r="N60" s="22"/>
      <c r="O60" s="22">
        <f t="shared" si="69"/>
        <v>1.5</v>
      </c>
      <c r="P60" s="23"/>
      <c r="Q60" s="21">
        <v>1.5</v>
      </c>
      <c r="R60" s="22">
        <f t="shared" si="70"/>
        <v>0</v>
      </c>
      <c r="S60" s="23"/>
      <c r="T60" s="22"/>
      <c r="U60" s="22">
        <f t="shared" si="71"/>
        <v>0</v>
      </c>
      <c r="V60" s="23"/>
      <c r="W60" s="22"/>
      <c r="X60" s="22">
        <f t="shared" si="72"/>
        <v>0</v>
      </c>
      <c r="Y60" s="23"/>
      <c r="Z60" s="22"/>
      <c r="AA60" s="22">
        <f t="shared" si="73"/>
        <v>0</v>
      </c>
      <c r="AB60" s="23"/>
      <c r="AC60" s="22"/>
      <c r="AD60" s="22">
        <f t="shared" si="74"/>
        <v>0</v>
      </c>
      <c r="AE60" s="23"/>
      <c r="AF60" s="22"/>
      <c r="AG60" s="22">
        <f t="shared" si="75"/>
        <v>0</v>
      </c>
      <c r="AH60" s="23"/>
      <c r="AI60" s="22"/>
      <c r="AJ60" s="22">
        <f t="shared" si="76"/>
        <v>0</v>
      </c>
      <c r="AK60" s="23"/>
      <c r="AL60" s="22"/>
      <c r="AM60" s="22">
        <f t="shared" si="77"/>
        <v>0</v>
      </c>
      <c r="AN60" s="23"/>
      <c r="AO60" s="22"/>
      <c r="AP60" s="22">
        <f t="shared" si="78"/>
        <v>0</v>
      </c>
      <c r="AQ60" s="23"/>
      <c r="AR60" s="22"/>
      <c r="AS60" s="22">
        <f t="shared" si="79"/>
        <v>0</v>
      </c>
      <c r="AT60" s="23"/>
      <c r="AU60" s="22"/>
      <c r="AV60" s="22">
        <f t="shared" si="80"/>
        <v>0</v>
      </c>
      <c r="AW60" s="23"/>
      <c r="AX60" s="22"/>
      <c r="AY60" s="22">
        <f t="shared" si="81"/>
        <v>0</v>
      </c>
      <c r="AZ60" s="23"/>
      <c r="BA60" s="22"/>
      <c r="BB60" s="22">
        <f t="shared" si="82"/>
        <v>0</v>
      </c>
      <c r="BC60" s="23"/>
      <c r="BD60" s="22"/>
      <c r="BE60" s="22">
        <f t="shared" si="83"/>
        <v>0</v>
      </c>
      <c r="BF60" s="23"/>
      <c r="BG60" s="22"/>
      <c r="BH60" s="22">
        <f t="shared" si="84"/>
        <v>0</v>
      </c>
      <c r="BI60" s="23"/>
      <c r="BJ60" s="22"/>
      <c r="BK60" s="22">
        <f t="shared" si="85"/>
        <v>0</v>
      </c>
      <c r="BL60" s="23"/>
      <c r="BM60" s="22"/>
      <c r="BN60" s="22">
        <f t="shared" si="86"/>
        <v>0</v>
      </c>
      <c r="BO60" s="23"/>
      <c r="BP60" s="24">
        <f t="shared" si="87"/>
        <v>1.5</v>
      </c>
      <c r="BQ60" s="24">
        <f t="shared" si="88"/>
        <v>0</v>
      </c>
    </row>
    <row r="61" ht="15.75" customHeight="1">
      <c r="A61" s="2"/>
      <c r="B61" s="31" t="s">
        <v>180</v>
      </c>
      <c r="C61" s="20" t="s">
        <v>181</v>
      </c>
      <c r="D61" s="20" t="s">
        <v>182</v>
      </c>
      <c r="E61" s="11" t="s">
        <v>73</v>
      </c>
      <c r="F61" s="11" t="s">
        <v>65</v>
      </c>
      <c r="G61" s="11">
        <v>0.5</v>
      </c>
      <c r="H61" s="22"/>
      <c r="I61" s="22">
        <f t="shared" si="67"/>
        <v>0.5</v>
      </c>
      <c r="J61" s="23"/>
      <c r="K61" s="22"/>
      <c r="L61" s="22">
        <f t="shared" si="68"/>
        <v>0.5</v>
      </c>
      <c r="M61" s="23"/>
      <c r="N61" s="22"/>
      <c r="O61" s="22">
        <f t="shared" si="69"/>
        <v>0.5</v>
      </c>
      <c r="P61" s="23"/>
      <c r="Q61" s="22"/>
      <c r="R61" s="22">
        <f t="shared" si="70"/>
        <v>0.5</v>
      </c>
      <c r="S61" s="23"/>
      <c r="T61" s="21">
        <v>0.5</v>
      </c>
      <c r="U61" s="22">
        <f t="shared" si="71"/>
        <v>0</v>
      </c>
      <c r="V61" s="23"/>
      <c r="W61" s="22"/>
      <c r="X61" s="22">
        <f t="shared" si="72"/>
        <v>0</v>
      </c>
      <c r="Y61" s="23"/>
      <c r="Z61" s="22"/>
      <c r="AA61" s="22">
        <f t="shared" si="73"/>
        <v>0</v>
      </c>
      <c r="AB61" s="23"/>
      <c r="AC61" s="22"/>
      <c r="AD61" s="22">
        <f t="shared" si="74"/>
        <v>0</v>
      </c>
      <c r="AE61" s="23"/>
      <c r="AF61" s="22"/>
      <c r="AG61" s="22">
        <f t="shared" si="75"/>
        <v>0</v>
      </c>
      <c r="AH61" s="23"/>
      <c r="AI61" s="22"/>
      <c r="AJ61" s="22">
        <f t="shared" si="76"/>
        <v>0</v>
      </c>
      <c r="AK61" s="23"/>
      <c r="AL61" s="22"/>
      <c r="AM61" s="22">
        <f t="shared" si="77"/>
        <v>0</v>
      </c>
      <c r="AN61" s="23"/>
      <c r="AO61" s="22"/>
      <c r="AP61" s="22">
        <f t="shared" si="78"/>
        <v>0</v>
      </c>
      <c r="AQ61" s="23"/>
      <c r="AR61" s="22"/>
      <c r="AS61" s="22">
        <f t="shared" si="79"/>
        <v>0</v>
      </c>
      <c r="AT61" s="23"/>
      <c r="AU61" s="22"/>
      <c r="AV61" s="22">
        <f t="shared" si="80"/>
        <v>0</v>
      </c>
      <c r="AW61" s="23"/>
      <c r="AX61" s="22"/>
      <c r="AY61" s="22">
        <f t="shared" si="81"/>
        <v>0</v>
      </c>
      <c r="AZ61" s="23"/>
      <c r="BA61" s="22"/>
      <c r="BB61" s="22">
        <f t="shared" si="82"/>
        <v>0</v>
      </c>
      <c r="BC61" s="23"/>
      <c r="BD61" s="22"/>
      <c r="BE61" s="22">
        <f t="shared" si="83"/>
        <v>0</v>
      </c>
      <c r="BF61" s="23"/>
      <c r="BG61" s="22"/>
      <c r="BH61" s="22">
        <f t="shared" si="84"/>
        <v>0</v>
      </c>
      <c r="BI61" s="23"/>
      <c r="BJ61" s="22"/>
      <c r="BK61" s="22">
        <f t="shared" si="85"/>
        <v>0</v>
      </c>
      <c r="BL61" s="23"/>
      <c r="BM61" s="22"/>
      <c r="BN61" s="22">
        <f t="shared" si="86"/>
        <v>0</v>
      </c>
      <c r="BO61" s="23"/>
      <c r="BP61" s="24">
        <f t="shared" si="87"/>
        <v>0.5</v>
      </c>
      <c r="BQ61" s="24">
        <f t="shared" si="88"/>
        <v>0</v>
      </c>
    </row>
    <row r="62" ht="15.75" customHeight="1">
      <c r="A62" s="2"/>
      <c r="B62" s="31" t="s">
        <v>183</v>
      </c>
      <c r="C62" s="20" t="s">
        <v>184</v>
      </c>
      <c r="D62" s="20" t="s">
        <v>185</v>
      </c>
      <c r="E62" s="11" t="s">
        <v>115</v>
      </c>
      <c r="F62" s="11" t="s">
        <v>65</v>
      </c>
      <c r="G62" s="11">
        <v>2.5</v>
      </c>
      <c r="H62" s="22"/>
      <c r="I62" s="22">
        <f t="shared" si="67"/>
        <v>2.5</v>
      </c>
      <c r="J62" s="23"/>
      <c r="K62" s="22"/>
      <c r="L62" s="22">
        <f t="shared" si="68"/>
        <v>2.5</v>
      </c>
      <c r="M62" s="23"/>
      <c r="N62" s="22"/>
      <c r="O62" s="22">
        <f t="shared" si="69"/>
        <v>2.5</v>
      </c>
      <c r="P62" s="23"/>
      <c r="Q62" s="22"/>
      <c r="R62" s="22">
        <f t="shared" si="70"/>
        <v>2.5</v>
      </c>
      <c r="S62" s="23"/>
      <c r="T62" s="22"/>
      <c r="U62" s="22">
        <f t="shared" si="71"/>
        <v>2.5</v>
      </c>
      <c r="V62" s="23"/>
      <c r="W62" s="22"/>
      <c r="X62" s="22">
        <f t="shared" si="72"/>
        <v>2.5</v>
      </c>
      <c r="Y62" s="23"/>
      <c r="Z62" s="22"/>
      <c r="AA62" s="22">
        <f t="shared" si="73"/>
        <v>2.5</v>
      </c>
      <c r="AB62" s="23"/>
      <c r="AC62" s="21">
        <v>2.5</v>
      </c>
      <c r="AD62" s="22">
        <f t="shared" si="74"/>
        <v>0</v>
      </c>
      <c r="AE62" s="23"/>
      <c r="AF62" s="22"/>
      <c r="AG62" s="22">
        <f t="shared" si="75"/>
        <v>0</v>
      </c>
      <c r="AH62" s="23"/>
      <c r="AI62" s="22"/>
      <c r="AJ62" s="22">
        <f t="shared" si="76"/>
        <v>0</v>
      </c>
      <c r="AK62" s="23"/>
      <c r="AL62" s="22"/>
      <c r="AM62" s="22">
        <f t="shared" si="77"/>
        <v>0</v>
      </c>
      <c r="AN62" s="23"/>
      <c r="AO62" s="22"/>
      <c r="AP62" s="22">
        <f t="shared" si="78"/>
        <v>0</v>
      </c>
      <c r="AQ62" s="23"/>
      <c r="AR62" s="22"/>
      <c r="AS62" s="22">
        <f t="shared" si="79"/>
        <v>0</v>
      </c>
      <c r="AT62" s="23"/>
      <c r="AU62" s="22"/>
      <c r="AV62" s="22">
        <f t="shared" si="80"/>
        <v>0</v>
      </c>
      <c r="AW62" s="23"/>
      <c r="AX62" s="22"/>
      <c r="AY62" s="22">
        <f t="shared" si="81"/>
        <v>0</v>
      </c>
      <c r="AZ62" s="23"/>
      <c r="BA62" s="22"/>
      <c r="BB62" s="22">
        <f t="shared" si="82"/>
        <v>0</v>
      </c>
      <c r="BC62" s="23"/>
      <c r="BD62" s="22"/>
      <c r="BE62" s="22">
        <f t="shared" si="83"/>
        <v>0</v>
      </c>
      <c r="BF62" s="23"/>
      <c r="BG62" s="22"/>
      <c r="BH62" s="22">
        <f t="shared" si="84"/>
        <v>0</v>
      </c>
      <c r="BI62" s="23"/>
      <c r="BJ62" s="22"/>
      <c r="BK62" s="22">
        <f t="shared" si="85"/>
        <v>0</v>
      </c>
      <c r="BL62" s="23"/>
      <c r="BM62" s="22"/>
      <c r="BN62" s="22">
        <f t="shared" si="86"/>
        <v>0</v>
      </c>
      <c r="BO62" s="23"/>
      <c r="BP62" s="24">
        <f t="shared" si="87"/>
        <v>2.5</v>
      </c>
      <c r="BQ62" s="24">
        <f t="shared" si="88"/>
        <v>0</v>
      </c>
    </row>
    <row r="63" ht="15.75" customHeight="1">
      <c r="A63" s="2"/>
      <c r="B63" s="31" t="s">
        <v>186</v>
      </c>
      <c r="C63" s="20" t="s">
        <v>187</v>
      </c>
      <c r="D63" s="20" t="s">
        <v>188</v>
      </c>
      <c r="E63" s="11" t="s">
        <v>73</v>
      </c>
      <c r="F63" s="11" t="s">
        <v>65</v>
      </c>
      <c r="G63" s="11">
        <v>1.5</v>
      </c>
      <c r="H63" s="22"/>
      <c r="I63" s="22">
        <f t="shared" si="67"/>
        <v>1.5</v>
      </c>
      <c r="J63" s="23"/>
      <c r="K63" s="22"/>
      <c r="L63" s="22">
        <f t="shared" si="68"/>
        <v>1.5</v>
      </c>
      <c r="M63" s="23"/>
      <c r="N63" s="22"/>
      <c r="O63" s="22">
        <f t="shared" si="69"/>
        <v>1.5</v>
      </c>
      <c r="P63" s="23"/>
      <c r="Q63" s="22"/>
      <c r="R63" s="22">
        <f t="shared" si="70"/>
        <v>1.5</v>
      </c>
      <c r="S63" s="23"/>
      <c r="T63" s="21">
        <v>1.5</v>
      </c>
      <c r="U63" s="22">
        <f t="shared" si="71"/>
        <v>0</v>
      </c>
      <c r="V63" s="23"/>
      <c r="W63" s="22"/>
      <c r="X63" s="22">
        <f t="shared" si="72"/>
        <v>0</v>
      </c>
      <c r="Y63" s="23"/>
      <c r="Z63" s="22"/>
      <c r="AA63" s="22">
        <f t="shared" si="73"/>
        <v>0</v>
      </c>
      <c r="AB63" s="23"/>
      <c r="AC63" s="22"/>
      <c r="AD63" s="22">
        <f t="shared" si="74"/>
        <v>0</v>
      </c>
      <c r="AE63" s="23"/>
      <c r="AF63" s="22"/>
      <c r="AG63" s="22">
        <f t="shared" si="75"/>
        <v>0</v>
      </c>
      <c r="AH63" s="23"/>
      <c r="AI63" s="22"/>
      <c r="AJ63" s="22">
        <f t="shared" si="76"/>
        <v>0</v>
      </c>
      <c r="AK63" s="23"/>
      <c r="AL63" s="22"/>
      <c r="AM63" s="22">
        <f t="shared" si="77"/>
        <v>0</v>
      </c>
      <c r="AN63" s="23"/>
      <c r="AO63" s="22"/>
      <c r="AP63" s="22">
        <f t="shared" si="78"/>
        <v>0</v>
      </c>
      <c r="AQ63" s="23"/>
      <c r="AR63" s="22"/>
      <c r="AS63" s="22">
        <f t="shared" si="79"/>
        <v>0</v>
      </c>
      <c r="AT63" s="23"/>
      <c r="AU63" s="22"/>
      <c r="AV63" s="22">
        <f t="shared" si="80"/>
        <v>0</v>
      </c>
      <c r="AW63" s="23"/>
      <c r="AX63" s="22"/>
      <c r="AY63" s="22">
        <f t="shared" si="81"/>
        <v>0</v>
      </c>
      <c r="AZ63" s="23"/>
      <c r="BA63" s="22"/>
      <c r="BB63" s="22">
        <f t="shared" si="82"/>
        <v>0</v>
      </c>
      <c r="BC63" s="23"/>
      <c r="BD63" s="22"/>
      <c r="BE63" s="22">
        <f t="shared" si="83"/>
        <v>0</v>
      </c>
      <c r="BF63" s="23"/>
      <c r="BG63" s="22"/>
      <c r="BH63" s="22">
        <f t="shared" si="84"/>
        <v>0</v>
      </c>
      <c r="BI63" s="23"/>
      <c r="BJ63" s="22"/>
      <c r="BK63" s="22">
        <f t="shared" si="85"/>
        <v>0</v>
      </c>
      <c r="BL63" s="23"/>
      <c r="BM63" s="22"/>
      <c r="BN63" s="22">
        <f t="shared" si="86"/>
        <v>0</v>
      </c>
      <c r="BO63" s="23"/>
      <c r="BP63" s="24">
        <f t="shared" si="87"/>
        <v>1.5</v>
      </c>
      <c r="BQ63" s="24">
        <f t="shared" si="88"/>
        <v>0</v>
      </c>
    </row>
    <row r="64" ht="15.75" customHeight="1">
      <c r="A64" s="2"/>
      <c r="B64" s="31" t="s">
        <v>189</v>
      </c>
      <c r="C64" s="20" t="s">
        <v>190</v>
      </c>
      <c r="D64" s="20" t="s">
        <v>191</v>
      </c>
      <c r="E64" s="11" t="s">
        <v>73</v>
      </c>
      <c r="F64" s="11" t="s">
        <v>65</v>
      </c>
      <c r="G64" s="11">
        <v>1.5</v>
      </c>
      <c r="H64" s="22"/>
      <c r="I64" s="22">
        <f t="shared" si="67"/>
        <v>1.5</v>
      </c>
      <c r="J64" s="23"/>
      <c r="K64" s="22"/>
      <c r="L64" s="22">
        <f t="shared" si="68"/>
        <v>1.5</v>
      </c>
      <c r="M64" s="23"/>
      <c r="N64" s="22"/>
      <c r="O64" s="22">
        <f t="shared" si="69"/>
        <v>1.5</v>
      </c>
      <c r="P64" s="23"/>
      <c r="Q64" s="22"/>
      <c r="R64" s="22">
        <f t="shared" si="70"/>
        <v>1.5</v>
      </c>
      <c r="S64" s="23"/>
      <c r="T64" s="21">
        <v>1.0</v>
      </c>
      <c r="U64" s="22">
        <f t="shared" si="71"/>
        <v>0.5</v>
      </c>
      <c r="V64" s="23"/>
      <c r="W64" s="21">
        <v>0.5</v>
      </c>
      <c r="X64" s="22">
        <f t="shared" si="72"/>
        <v>0</v>
      </c>
      <c r="Y64" s="23"/>
      <c r="Z64" s="22"/>
      <c r="AA64" s="22">
        <f t="shared" si="73"/>
        <v>0</v>
      </c>
      <c r="AB64" s="23"/>
      <c r="AC64" s="22"/>
      <c r="AD64" s="22">
        <f t="shared" si="74"/>
        <v>0</v>
      </c>
      <c r="AE64" s="23"/>
      <c r="AF64" s="22"/>
      <c r="AG64" s="22">
        <f t="shared" si="75"/>
        <v>0</v>
      </c>
      <c r="AH64" s="23"/>
      <c r="AI64" s="22"/>
      <c r="AJ64" s="22">
        <f t="shared" si="76"/>
        <v>0</v>
      </c>
      <c r="AK64" s="23"/>
      <c r="AL64" s="22"/>
      <c r="AM64" s="22">
        <f t="shared" si="77"/>
        <v>0</v>
      </c>
      <c r="AN64" s="23"/>
      <c r="AO64" s="22"/>
      <c r="AP64" s="22">
        <f t="shared" si="78"/>
        <v>0</v>
      </c>
      <c r="AQ64" s="23"/>
      <c r="AR64" s="22"/>
      <c r="AS64" s="22">
        <f t="shared" si="79"/>
        <v>0</v>
      </c>
      <c r="AT64" s="23"/>
      <c r="AU64" s="22"/>
      <c r="AV64" s="22">
        <f t="shared" si="80"/>
        <v>0</v>
      </c>
      <c r="AW64" s="23"/>
      <c r="AX64" s="22"/>
      <c r="AY64" s="22">
        <f t="shared" si="81"/>
        <v>0</v>
      </c>
      <c r="AZ64" s="23"/>
      <c r="BA64" s="22"/>
      <c r="BB64" s="22">
        <f t="shared" si="82"/>
        <v>0</v>
      </c>
      <c r="BC64" s="23"/>
      <c r="BD64" s="22"/>
      <c r="BE64" s="22">
        <f t="shared" si="83"/>
        <v>0</v>
      </c>
      <c r="BF64" s="23"/>
      <c r="BG64" s="22"/>
      <c r="BH64" s="22">
        <f t="shared" si="84"/>
        <v>0</v>
      </c>
      <c r="BI64" s="23"/>
      <c r="BJ64" s="22"/>
      <c r="BK64" s="22">
        <f t="shared" si="85"/>
        <v>0</v>
      </c>
      <c r="BL64" s="23"/>
      <c r="BM64" s="22"/>
      <c r="BN64" s="22">
        <f t="shared" si="86"/>
        <v>0</v>
      </c>
      <c r="BO64" s="23"/>
      <c r="BP64" s="24">
        <f t="shared" si="87"/>
        <v>1.5</v>
      </c>
      <c r="BQ64" s="24">
        <f t="shared" si="88"/>
        <v>0</v>
      </c>
    </row>
    <row r="65" ht="15.75" customHeight="1">
      <c r="A65" s="2"/>
      <c r="B65" s="31" t="s">
        <v>192</v>
      </c>
      <c r="C65" s="20" t="s">
        <v>193</v>
      </c>
      <c r="D65" s="20" t="s">
        <v>194</v>
      </c>
      <c r="E65" s="11" t="s">
        <v>73</v>
      </c>
      <c r="F65" s="11" t="s">
        <v>65</v>
      </c>
      <c r="G65" s="11">
        <v>0.5</v>
      </c>
      <c r="H65" s="22"/>
      <c r="I65" s="22">
        <f t="shared" si="67"/>
        <v>0.5</v>
      </c>
      <c r="J65" s="23"/>
      <c r="K65" s="22"/>
      <c r="L65" s="22">
        <f t="shared" si="68"/>
        <v>0.5</v>
      </c>
      <c r="M65" s="23"/>
      <c r="N65" s="22"/>
      <c r="O65" s="22">
        <f t="shared" si="69"/>
        <v>0.5</v>
      </c>
      <c r="P65" s="23"/>
      <c r="Q65" s="22"/>
      <c r="R65" s="22">
        <f t="shared" si="70"/>
        <v>0.5</v>
      </c>
      <c r="S65" s="23"/>
      <c r="T65" s="22"/>
      <c r="U65" s="22">
        <f t="shared" si="71"/>
        <v>0.5</v>
      </c>
      <c r="V65" s="23"/>
      <c r="W65" s="21">
        <v>0.5</v>
      </c>
      <c r="X65" s="22">
        <f t="shared" si="72"/>
        <v>0</v>
      </c>
      <c r="Y65" s="23"/>
      <c r="Z65" s="22"/>
      <c r="AA65" s="22">
        <f t="shared" si="73"/>
        <v>0</v>
      </c>
      <c r="AB65" s="23"/>
      <c r="AC65" s="22"/>
      <c r="AD65" s="22">
        <f t="shared" si="74"/>
        <v>0</v>
      </c>
      <c r="AE65" s="23"/>
      <c r="AF65" s="22"/>
      <c r="AG65" s="22">
        <f t="shared" si="75"/>
        <v>0</v>
      </c>
      <c r="AH65" s="23"/>
      <c r="AI65" s="22"/>
      <c r="AJ65" s="22">
        <f t="shared" si="76"/>
        <v>0</v>
      </c>
      <c r="AK65" s="23"/>
      <c r="AL65" s="22"/>
      <c r="AM65" s="22">
        <f t="shared" si="77"/>
        <v>0</v>
      </c>
      <c r="AN65" s="23"/>
      <c r="AO65" s="22"/>
      <c r="AP65" s="22">
        <f t="shared" si="78"/>
        <v>0</v>
      </c>
      <c r="AQ65" s="23"/>
      <c r="AR65" s="22"/>
      <c r="AS65" s="22">
        <f t="shared" si="79"/>
        <v>0</v>
      </c>
      <c r="AT65" s="23"/>
      <c r="AU65" s="22"/>
      <c r="AV65" s="22">
        <f t="shared" si="80"/>
        <v>0</v>
      </c>
      <c r="AW65" s="23"/>
      <c r="AX65" s="22"/>
      <c r="AY65" s="22">
        <f t="shared" si="81"/>
        <v>0</v>
      </c>
      <c r="AZ65" s="23"/>
      <c r="BA65" s="22"/>
      <c r="BB65" s="22">
        <f t="shared" si="82"/>
        <v>0</v>
      </c>
      <c r="BC65" s="23"/>
      <c r="BD65" s="22"/>
      <c r="BE65" s="22">
        <f t="shared" si="83"/>
        <v>0</v>
      </c>
      <c r="BF65" s="23"/>
      <c r="BG65" s="22"/>
      <c r="BH65" s="22">
        <f t="shared" si="84"/>
        <v>0</v>
      </c>
      <c r="BI65" s="23"/>
      <c r="BJ65" s="22"/>
      <c r="BK65" s="22">
        <f t="shared" si="85"/>
        <v>0</v>
      </c>
      <c r="BL65" s="23"/>
      <c r="BM65" s="22"/>
      <c r="BN65" s="22">
        <f t="shared" si="86"/>
        <v>0</v>
      </c>
      <c r="BO65" s="23"/>
      <c r="BP65" s="24">
        <f t="shared" si="87"/>
        <v>0.5</v>
      </c>
      <c r="BQ65" s="24">
        <f t="shared" si="88"/>
        <v>0</v>
      </c>
    </row>
    <row r="66" ht="15.75" customHeight="1">
      <c r="A66" s="2"/>
      <c r="B66" s="31" t="s">
        <v>195</v>
      </c>
      <c r="C66" s="20" t="s">
        <v>196</v>
      </c>
      <c r="D66" s="20" t="s">
        <v>197</v>
      </c>
      <c r="E66" s="11" t="s">
        <v>73</v>
      </c>
      <c r="F66" s="11" t="s">
        <v>65</v>
      </c>
      <c r="G66" s="11">
        <v>1.5</v>
      </c>
      <c r="H66" s="22"/>
      <c r="I66" s="22">
        <f t="shared" si="67"/>
        <v>1.5</v>
      </c>
      <c r="J66" s="23"/>
      <c r="K66" s="22"/>
      <c r="L66" s="22">
        <f t="shared" si="68"/>
        <v>1.5</v>
      </c>
      <c r="M66" s="23"/>
      <c r="N66" s="22"/>
      <c r="O66" s="22">
        <f t="shared" si="69"/>
        <v>1.5</v>
      </c>
      <c r="P66" s="23"/>
      <c r="Q66" s="22"/>
      <c r="R66" s="22">
        <f t="shared" si="70"/>
        <v>1.5</v>
      </c>
      <c r="S66" s="23"/>
      <c r="T66" s="22"/>
      <c r="U66" s="22">
        <f t="shared" si="71"/>
        <v>1.5</v>
      </c>
      <c r="V66" s="23"/>
      <c r="W66" s="21">
        <v>1.5</v>
      </c>
      <c r="X66" s="22">
        <f t="shared" si="72"/>
        <v>0</v>
      </c>
      <c r="Y66" s="23"/>
      <c r="Z66" s="22"/>
      <c r="AA66" s="22">
        <f t="shared" si="73"/>
        <v>0</v>
      </c>
      <c r="AB66" s="23"/>
      <c r="AC66" s="22"/>
      <c r="AD66" s="22">
        <f t="shared" si="74"/>
        <v>0</v>
      </c>
      <c r="AE66" s="23"/>
      <c r="AF66" s="22"/>
      <c r="AG66" s="22">
        <f t="shared" si="75"/>
        <v>0</v>
      </c>
      <c r="AH66" s="23"/>
      <c r="AI66" s="22"/>
      <c r="AJ66" s="22">
        <f t="shared" si="76"/>
        <v>0</v>
      </c>
      <c r="AK66" s="23"/>
      <c r="AL66" s="22"/>
      <c r="AM66" s="22">
        <f t="shared" si="77"/>
        <v>0</v>
      </c>
      <c r="AN66" s="23"/>
      <c r="AO66" s="22"/>
      <c r="AP66" s="22">
        <f t="shared" si="78"/>
        <v>0</v>
      </c>
      <c r="AQ66" s="23"/>
      <c r="AR66" s="22"/>
      <c r="AS66" s="22">
        <f t="shared" si="79"/>
        <v>0</v>
      </c>
      <c r="AT66" s="23"/>
      <c r="AU66" s="22"/>
      <c r="AV66" s="22">
        <f t="shared" si="80"/>
        <v>0</v>
      </c>
      <c r="AW66" s="23"/>
      <c r="AX66" s="22"/>
      <c r="AY66" s="22">
        <f t="shared" si="81"/>
        <v>0</v>
      </c>
      <c r="AZ66" s="23"/>
      <c r="BA66" s="22"/>
      <c r="BB66" s="22">
        <f t="shared" si="82"/>
        <v>0</v>
      </c>
      <c r="BC66" s="23"/>
      <c r="BD66" s="22"/>
      <c r="BE66" s="22">
        <f t="shared" si="83"/>
        <v>0</v>
      </c>
      <c r="BF66" s="23"/>
      <c r="BG66" s="22"/>
      <c r="BH66" s="22">
        <f t="shared" si="84"/>
        <v>0</v>
      </c>
      <c r="BI66" s="23"/>
      <c r="BJ66" s="22"/>
      <c r="BK66" s="22">
        <f t="shared" si="85"/>
        <v>0</v>
      </c>
      <c r="BL66" s="23"/>
      <c r="BM66" s="22"/>
      <c r="BN66" s="22">
        <f t="shared" si="86"/>
        <v>0</v>
      </c>
      <c r="BO66" s="23"/>
      <c r="BP66" s="24">
        <f t="shared" si="87"/>
        <v>1.5</v>
      </c>
      <c r="BQ66" s="24">
        <f t="shared" si="88"/>
        <v>0</v>
      </c>
    </row>
    <row r="67" ht="15.75" customHeight="1">
      <c r="A67" s="2"/>
      <c r="B67" s="31" t="s">
        <v>198</v>
      </c>
      <c r="C67" s="20" t="s">
        <v>199</v>
      </c>
      <c r="D67" s="20" t="s">
        <v>200</v>
      </c>
      <c r="E67" s="11" t="s">
        <v>73</v>
      </c>
      <c r="F67" s="11" t="s">
        <v>65</v>
      </c>
      <c r="G67" s="11">
        <v>1.5</v>
      </c>
      <c r="H67" s="22"/>
      <c r="I67" s="22">
        <f t="shared" si="67"/>
        <v>1.5</v>
      </c>
      <c r="J67" s="23"/>
      <c r="K67" s="22"/>
      <c r="L67" s="22">
        <f t="shared" si="68"/>
        <v>1.5</v>
      </c>
      <c r="M67" s="23"/>
      <c r="N67" s="22"/>
      <c r="O67" s="22">
        <f t="shared" si="69"/>
        <v>1.5</v>
      </c>
      <c r="P67" s="23"/>
      <c r="Q67" s="22"/>
      <c r="R67" s="22">
        <f t="shared" si="70"/>
        <v>1.5</v>
      </c>
      <c r="S67" s="23"/>
      <c r="T67" s="22"/>
      <c r="U67" s="22">
        <f t="shared" si="71"/>
        <v>1.5</v>
      </c>
      <c r="V67" s="23"/>
      <c r="W67" s="21">
        <v>0.5</v>
      </c>
      <c r="X67" s="22">
        <f t="shared" si="72"/>
        <v>1</v>
      </c>
      <c r="Y67" s="23"/>
      <c r="Z67" s="21">
        <v>1.0</v>
      </c>
      <c r="AA67" s="22">
        <f t="shared" si="73"/>
        <v>0</v>
      </c>
      <c r="AB67" s="23"/>
      <c r="AC67" s="22"/>
      <c r="AD67" s="22">
        <f t="shared" si="74"/>
        <v>0</v>
      </c>
      <c r="AE67" s="23"/>
      <c r="AF67" s="22"/>
      <c r="AG67" s="22">
        <f t="shared" si="75"/>
        <v>0</v>
      </c>
      <c r="AH67" s="23"/>
      <c r="AI67" s="22"/>
      <c r="AJ67" s="22">
        <f t="shared" si="76"/>
        <v>0</v>
      </c>
      <c r="AK67" s="23"/>
      <c r="AL67" s="22"/>
      <c r="AM67" s="22">
        <f t="shared" si="77"/>
        <v>0</v>
      </c>
      <c r="AN67" s="23"/>
      <c r="AO67" s="22"/>
      <c r="AP67" s="22">
        <f t="shared" si="78"/>
        <v>0</v>
      </c>
      <c r="AQ67" s="23"/>
      <c r="AR67" s="22"/>
      <c r="AS67" s="22">
        <f t="shared" si="79"/>
        <v>0</v>
      </c>
      <c r="AT67" s="23"/>
      <c r="AU67" s="22"/>
      <c r="AV67" s="22">
        <f t="shared" si="80"/>
        <v>0</v>
      </c>
      <c r="AW67" s="23"/>
      <c r="AX67" s="22"/>
      <c r="AY67" s="22">
        <f t="shared" si="81"/>
        <v>0</v>
      </c>
      <c r="AZ67" s="23"/>
      <c r="BA67" s="22"/>
      <c r="BB67" s="22">
        <f t="shared" si="82"/>
        <v>0</v>
      </c>
      <c r="BC67" s="23"/>
      <c r="BD67" s="22"/>
      <c r="BE67" s="22">
        <f t="shared" si="83"/>
        <v>0</v>
      </c>
      <c r="BF67" s="23"/>
      <c r="BG67" s="22"/>
      <c r="BH67" s="22">
        <f t="shared" si="84"/>
        <v>0</v>
      </c>
      <c r="BI67" s="23"/>
      <c r="BJ67" s="22"/>
      <c r="BK67" s="22">
        <f t="shared" si="85"/>
        <v>0</v>
      </c>
      <c r="BL67" s="23"/>
      <c r="BM67" s="22"/>
      <c r="BN67" s="22">
        <f t="shared" si="86"/>
        <v>0</v>
      </c>
      <c r="BO67" s="23"/>
      <c r="BP67" s="24">
        <f t="shared" si="87"/>
        <v>1.5</v>
      </c>
      <c r="BQ67" s="24">
        <f t="shared" si="88"/>
        <v>0</v>
      </c>
    </row>
    <row r="68" ht="15.75" customHeight="1">
      <c r="A68" s="2"/>
      <c r="B68" s="31" t="s">
        <v>201</v>
      </c>
      <c r="C68" s="20" t="s">
        <v>202</v>
      </c>
      <c r="D68" s="20" t="s">
        <v>203</v>
      </c>
      <c r="E68" s="11"/>
      <c r="F68" s="11" t="s">
        <v>132</v>
      </c>
      <c r="G68" s="11">
        <v>3.0</v>
      </c>
      <c r="H68" s="22"/>
      <c r="I68" s="22">
        <f t="shared" si="67"/>
        <v>3</v>
      </c>
      <c r="J68" s="23"/>
      <c r="K68" s="22"/>
      <c r="L68" s="22">
        <f t="shared" si="68"/>
        <v>3</v>
      </c>
      <c r="M68" s="23"/>
      <c r="N68" s="22"/>
      <c r="O68" s="22">
        <f t="shared" si="69"/>
        <v>3</v>
      </c>
      <c r="P68" s="23"/>
      <c r="Q68" s="22"/>
      <c r="R68" s="22">
        <f t="shared" si="70"/>
        <v>3</v>
      </c>
      <c r="S68" s="23"/>
      <c r="T68" s="22"/>
      <c r="U68" s="22">
        <f t="shared" si="71"/>
        <v>3</v>
      </c>
      <c r="V68" s="23"/>
      <c r="W68" s="22"/>
      <c r="X68" s="22">
        <f t="shared" si="72"/>
        <v>3</v>
      </c>
      <c r="Y68" s="23"/>
      <c r="Z68" s="22"/>
      <c r="AA68" s="22">
        <f t="shared" si="73"/>
        <v>3</v>
      </c>
      <c r="AB68" s="23"/>
      <c r="AC68" s="22"/>
      <c r="AD68" s="22">
        <f t="shared" si="74"/>
        <v>3</v>
      </c>
      <c r="AE68" s="23"/>
      <c r="AF68" s="22"/>
      <c r="AG68" s="22">
        <f t="shared" si="75"/>
        <v>3</v>
      </c>
      <c r="AH68" s="23"/>
      <c r="AI68" s="22"/>
      <c r="AJ68" s="22">
        <f t="shared" si="76"/>
        <v>3</v>
      </c>
      <c r="AK68" s="23"/>
      <c r="AL68" s="22"/>
      <c r="AM68" s="22">
        <f t="shared" si="77"/>
        <v>3</v>
      </c>
      <c r="AN68" s="23"/>
      <c r="AO68" s="22"/>
      <c r="AP68" s="22">
        <f t="shared" si="78"/>
        <v>3</v>
      </c>
      <c r="AQ68" s="23"/>
      <c r="AR68" s="22"/>
      <c r="AS68" s="22">
        <f t="shared" si="79"/>
        <v>3</v>
      </c>
      <c r="AT68" s="23"/>
      <c r="AU68" s="22"/>
      <c r="AV68" s="22">
        <f t="shared" si="80"/>
        <v>3</v>
      </c>
      <c r="AW68" s="23"/>
      <c r="AX68" s="22"/>
      <c r="AY68" s="22">
        <f t="shared" si="81"/>
        <v>3</v>
      </c>
      <c r="AZ68" s="23"/>
      <c r="BA68" s="22"/>
      <c r="BB68" s="22">
        <f t="shared" si="82"/>
        <v>3</v>
      </c>
      <c r="BC68" s="23"/>
      <c r="BD68" s="22"/>
      <c r="BE68" s="22">
        <f t="shared" si="83"/>
        <v>3</v>
      </c>
      <c r="BF68" s="23"/>
      <c r="BG68" s="22"/>
      <c r="BH68" s="22">
        <f t="shared" si="84"/>
        <v>3</v>
      </c>
      <c r="BI68" s="23"/>
      <c r="BJ68" s="22"/>
      <c r="BK68" s="22">
        <f t="shared" si="85"/>
        <v>3</v>
      </c>
      <c r="BL68" s="23"/>
      <c r="BM68" s="22"/>
      <c r="BN68" s="22">
        <f t="shared" si="86"/>
        <v>3</v>
      </c>
      <c r="BO68" s="23"/>
      <c r="BP68" s="24">
        <f t="shared" si="87"/>
        <v>0</v>
      </c>
      <c r="BQ68" s="24">
        <f t="shared" si="88"/>
        <v>3</v>
      </c>
    </row>
    <row r="69" ht="15.75" customHeight="1">
      <c r="A69" s="2"/>
      <c r="B69" s="31"/>
      <c r="C69" s="20"/>
      <c r="D69" s="20" t="s">
        <v>204</v>
      </c>
      <c r="E69" s="11"/>
      <c r="F69" s="11" t="s">
        <v>132</v>
      </c>
      <c r="G69" s="11">
        <v>3.0</v>
      </c>
      <c r="H69" s="22"/>
      <c r="I69" s="22">
        <f t="shared" si="67"/>
        <v>3</v>
      </c>
      <c r="J69" s="23"/>
      <c r="K69" s="22"/>
      <c r="L69" s="22">
        <f t="shared" si="68"/>
        <v>3</v>
      </c>
      <c r="M69" s="23"/>
      <c r="N69" s="22"/>
      <c r="O69" s="22">
        <f t="shared" si="69"/>
        <v>3</v>
      </c>
      <c r="P69" s="23"/>
      <c r="Q69" s="22"/>
      <c r="R69" s="22">
        <f t="shared" si="70"/>
        <v>3</v>
      </c>
      <c r="S69" s="23"/>
      <c r="T69" s="22"/>
      <c r="U69" s="22">
        <f t="shared" si="71"/>
        <v>3</v>
      </c>
      <c r="V69" s="23"/>
      <c r="W69" s="22"/>
      <c r="X69" s="22">
        <f t="shared" si="72"/>
        <v>3</v>
      </c>
      <c r="Y69" s="23"/>
      <c r="Z69" s="22"/>
      <c r="AA69" s="22">
        <f t="shared" si="73"/>
        <v>3</v>
      </c>
      <c r="AB69" s="23"/>
      <c r="AC69" s="22"/>
      <c r="AD69" s="22">
        <f t="shared" si="74"/>
        <v>3</v>
      </c>
      <c r="AE69" s="23"/>
      <c r="AF69" s="22"/>
      <c r="AG69" s="22">
        <f t="shared" si="75"/>
        <v>3</v>
      </c>
      <c r="AH69" s="23"/>
      <c r="AI69" s="22"/>
      <c r="AJ69" s="22">
        <f t="shared" si="76"/>
        <v>3</v>
      </c>
      <c r="AK69" s="23"/>
      <c r="AL69" s="22"/>
      <c r="AM69" s="22">
        <f t="shared" si="77"/>
        <v>3</v>
      </c>
      <c r="AN69" s="23"/>
      <c r="AO69" s="22"/>
      <c r="AP69" s="22">
        <f t="shared" si="78"/>
        <v>3</v>
      </c>
      <c r="AQ69" s="23"/>
      <c r="AR69" s="22"/>
      <c r="AS69" s="22">
        <f t="shared" si="79"/>
        <v>3</v>
      </c>
      <c r="AT69" s="23"/>
      <c r="AU69" s="22"/>
      <c r="AV69" s="22">
        <f t="shared" si="80"/>
        <v>3</v>
      </c>
      <c r="AW69" s="23"/>
      <c r="AX69" s="22"/>
      <c r="AY69" s="22">
        <f t="shared" si="81"/>
        <v>3</v>
      </c>
      <c r="AZ69" s="23"/>
      <c r="BA69" s="22"/>
      <c r="BB69" s="22">
        <f t="shared" si="82"/>
        <v>3</v>
      </c>
      <c r="BC69" s="23"/>
      <c r="BD69" s="22"/>
      <c r="BE69" s="22">
        <f t="shared" si="83"/>
        <v>3</v>
      </c>
      <c r="BF69" s="23"/>
      <c r="BG69" s="22"/>
      <c r="BH69" s="22">
        <f t="shared" si="84"/>
        <v>3</v>
      </c>
      <c r="BI69" s="23"/>
      <c r="BJ69" s="22"/>
      <c r="BK69" s="22">
        <f t="shared" si="85"/>
        <v>3</v>
      </c>
      <c r="BL69" s="23"/>
      <c r="BM69" s="22"/>
      <c r="BN69" s="22">
        <f t="shared" si="86"/>
        <v>3</v>
      </c>
      <c r="BO69" s="23"/>
      <c r="BP69" s="24">
        <f t="shared" si="87"/>
        <v>0</v>
      </c>
      <c r="BQ69" s="24">
        <f t="shared" si="88"/>
        <v>3</v>
      </c>
    </row>
    <row r="70" ht="15.75" customHeight="1">
      <c r="A70" s="2"/>
      <c r="B70" s="31" t="s">
        <v>205</v>
      </c>
      <c r="C70" s="20" t="s">
        <v>206</v>
      </c>
      <c r="D70" s="20" t="s">
        <v>207</v>
      </c>
      <c r="E70" s="11" t="s">
        <v>73</v>
      </c>
      <c r="F70" s="11" t="s">
        <v>65</v>
      </c>
      <c r="G70" s="11">
        <v>1.5</v>
      </c>
      <c r="H70" s="22"/>
      <c r="I70" s="22">
        <f t="shared" si="67"/>
        <v>1.5</v>
      </c>
      <c r="J70" s="23"/>
      <c r="K70" s="21"/>
      <c r="L70" s="22">
        <f t="shared" si="68"/>
        <v>1.5</v>
      </c>
      <c r="M70" s="23"/>
      <c r="N70" s="21"/>
      <c r="O70" s="22">
        <f t="shared" si="69"/>
        <v>1.5</v>
      </c>
      <c r="P70" s="23"/>
      <c r="Q70" s="21"/>
      <c r="R70" s="22">
        <f t="shared" si="70"/>
        <v>1.5</v>
      </c>
      <c r="S70" s="23"/>
      <c r="T70" s="22"/>
      <c r="U70" s="22">
        <f t="shared" si="71"/>
        <v>1.5</v>
      </c>
      <c r="V70" s="23"/>
      <c r="W70" s="22"/>
      <c r="X70" s="22">
        <f t="shared" si="72"/>
        <v>1.5</v>
      </c>
      <c r="Y70" s="23"/>
      <c r="Z70" s="21">
        <v>1.5</v>
      </c>
      <c r="AA70" s="22">
        <f t="shared" si="73"/>
        <v>0</v>
      </c>
      <c r="AB70" s="23"/>
      <c r="AC70" s="22"/>
      <c r="AD70" s="22">
        <f t="shared" si="74"/>
        <v>0</v>
      </c>
      <c r="AE70" s="23"/>
      <c r="AF70" s="22"/>
      <c r="AG70" s="22">
        <f t="shared" si="75"/>
        <v>0</v>
      </c>
      <c r="AH70" s="23"/>
      <c r="AI70" s="22"/>
      <c r="AJ70" s="22">
        <f t="shared" si="76"/>
        <v>0</v>
      </c>
      <c r="AK70" s="23"/>
      <c r="AL70" s="22"/>
      <c r="AM70" s="22">
        <f t="shared" si="77"/>
        <v>0</v>
      </c>
      <c r="AN70" s="23"/>
      <c r="AO70" s="22"/>
      <c r="AP70" s="22">
        <f t="shared" si="78"/>
        <v>0</v>
      </c>
      <c r="AQ70" s="23"/>
      <c r="AR70" s="22"/>
      <c r="AS70" s="22">
        <f t="shared" si="79"/>
        <v>0</v>
      </c>
      <c r="AT70" s="23"/>
      <c r="AU70" s="22"/>
      <c r="AV70" s="22">
        <f t="shared" si="80"/>
        <v>0</v>
      </c>
      <c r="AW70" s="23"/>
      <c r="AX70" s="22"/>
      <c r="AY70" s="22">
        <f t="shared" si="81"/>
        <v>0</v>
      </c>
      <c r="AZ70" s="23"/>
      <c r="BA70" s="22"/>
      <c r="BB70" s="22">
        <f t="shared" si="82"/>
        <v>0</v>
      </c>
      <c r="BC70" s="23"/>
      <c r="BD70" s="22"/>
      <c r="BE70" s="22">
        <f t="shared" si="83"/>
        <v>0</v>
      </c>
      <c r="BF70" s="23"/>
      <c r="BG70" s="22"/>
      <c r="BH70" s="22">
        <f t="shared" si="84"/>
        <v>0</v>
      </c>
      <c r="BI70" s="23"/>
      <c r="BJ70" s="22"/>
      <c r="BK70" s="22">
        <f t="shared" si="85"/>
        <v>0</v>
      </c>
      <c r="BL70" s="23"/>
      <c r="BM70" s="22"/>
      <c r="BN70" s="22">
        <f t="shared" si="86"/>
        <v>0</v>
      </c>
      <c r="BO70" s="23"/>
      <c r="BP70" s="24">
        <f t="shared" si="87"/>
        <v>1.5</v>
      </c>
      <c r="BQ70" s="24">
        <f t="shared" si="88"/>
        <v>0</v>
      </c>
    </row>
    <row r="71" ht="15.75" customHeight="1">
      <c r="A71" s="2"/>
      <c r="B71" s="31"/>
      <c r="C71" s="20"/>
      <c r="D71" s="20" t="s">
        <v>208</v>
      </c>
      <c r="E71" s="11" t="s">
        <v>73</v>
      </c>
      <c r="F71" s="11" t="s">
        <v>65</v>
      </c>
      <c r="G71" s="11">
        <v>1.5</v>
      </c>
      <c r="H71" s="22"/>
      <c r="I71" s="22">
        <f t="shared" si="67"/>
        <v>1.5</v>
      </c>
      <c r="J71" s="23"/>
      <c r="K71" s="22"/>
      <c r="L71" s="22">
        <f t="shared" si="68"/>
        <v>1.5</v>
      </c>
      <c r="M71" s="23"/>
      <c r="N71" s="21"/>
      <c r="O71" s="22">
        <f t="shared" si="69"/>
        <v>1.5</v>
      </c>
      <c r="P71" s="23"/>
      <c r="Q71" s="21"/>
      <c r="R71" s="22">
        <f t="shared" si="70"/>
        <v>1.5</v>
      </c>
      <c r="S71" s="23"/>
      <c r="T71" s="21"/>
      <c r="U71" s="22">
        <f t="shared" si="71"/>
        <v>1.5</v>
      </c>
      <c r="V71" s="23"/>
      <c r="W71" s="22"/>
      <c r="X71" s="22">
        <f t="shared" si="72"/>
        <v>1.5</v>
      </c>
      <c r="Y71" s="23"/>
      <c r="Z71" s="21">
        <v>0.5</v>
      </c>
      <c r="AA71" s="22">
        <f t="shared" si="73"/>
        <v>1</v>
      </c>
      <c r="AB71" s="23"/>
      <c r="AC71" s="21">
        <v>1.0</v>
      </c>
      <c r="AD71" s="22">
        <f t="shared" si="74"/>
        <v>0</v>
      </c>
      <c r="AE71" s="23"/>
      <c r="AF71" s="22"/>
      <c r="AG71" s="22">
        <f t="shared" si="75"/>
        <v>0</v>
      </c>
      <c r="AH71" s="23"/>
      <c r="AI71" s="22"/>
      <c r="AJ71" s="22">
        <f t="shared" si="76"/>
        <v>0</v>
      </c>
      <c r="AK71" s="23"/>
      <c r="AL71" s="22"/>
      <c r="AM71" s="22">
        <f t="shared" si="77"/>
        <v>0</v>
      </c>
      <c r="AN71" s="23"/>
      <c r="AO71" s="22"/>
      <c r="AP71" s="22">
        <f t="shared" si="78"/>
        <v>0</v>
      </c>
      <c r="AQ71" s="23"/>
      <c r="AR71" s="22"/>
      <c r="AS71" s="22">
        <f t="shared" si="79"/>
        <v>0</v>
      </c>
      <c r="AT71" s="23"/>
      <c r="AU71" s="22"/>
      <c r="AV71" s="22">
        <f t="shared" si="80"/>
        <v>0</v>
      </c>
      <c r="AW71" s="23"/>
      <c r="AX71" s="22"/>
      <c r="AY71" s="22">
        <f t="shared" si="81"/>
        <v>0</v>
      </c>
      <c r="AZ71" s="23"/>
      <c r="BA71" s="22"/>
      <c r="BB71" s="22">
        <f t="shared" si="82"/>
        <v>0</v>
      </c>
      <c r="BC71" s="23"/>
      <c r="BD71" s="22"/>
      <c r="BE71" s="22">
        <f t="shared" si="83"/>
        <v>0</v>
      </c>
      <c r="BF71" s="23"/>
      <c r="BG71" s="22"/>
      <c r="BH71" s="22">
        <f t="shared" si="84"/>
        <v>0</v>
      </c>
      <c r="BI71" s="23"/>
      <c r="BJ71" s="22"/>
      <c r="BK71" s="22">
        <f t="shared" si="85"/>
        <v>0</v>
      </c>
      <c r="BL71" s="23"/>
      <c r="BM71" s="22"/>
      <c r="BN71" s="22">
        <f t="shared" si="86"/>
        <v>0</v>
      </c>
      <c r="BO71" s="23"/>
      <c r="BP71" s="24">
        <f t="shared" si="87"/>
        <v>1.5</v>
      </c>
      <c r="BQ71" s="24">
        <f t="shared" si="88"/>
        <v>0</v>
      </c>
    </row>
    <row r="72" ht="15.75" customHeight="1">
      <c r="A72" s="2"/>
      <c r="B72" s="31"/>
      <c r="C72" s="20"/>
      <c r="D72" s="20" t="s">
        <v>209</v>
      </c>
      <c r="E72" s="11" t="s">
        <v>73</v>
      </c>
      <c r="F72" s="11" t="s">
        <v>65</v>
      </c>
      <c r="G72" s="11">
        <v>1.0</v>
      </c>
      <c r="H72" s="22"/>
      <c r="I72" s="22">
        <f t="shared" si="67"/>
        <v>1</v>
      </c>
      <c r="J72" s="23"/>
      <c r="K72" s="22"/>
      <c r="L72" s="22">
        <f t="shared" si="68"/>
        <v>1</v>
      </c>
      <c r="M72" s="23"/>
      <c r="N72" s="22"/>
      <c r="O72" s="22">
        <f t="shared" si="69"/>
        <v>1</v>
      </c>
      <c r="P72" s="23"/>
      <c r="Q72" s="21"/>
      <c r="R72" s="22">
        <f t="shared" si="70"/>
        <v>1</v>
      </c>
      <c r="S72" s="23"/>
      <c r="T72" s="21"/>
      <c r="U72" s="22">
        <f t="shared" si="71"/>
        <v>1</v>
      </c>
      <c r="V72" s="23"/>
      <c r="W72" s="21"/>
      <c r="X72" s="22">
        <f t="shared" si="72"/>
        <v>1</v>
      </c>
      <c r="Y72" s="23"/>
      <c r="Z72" s="22"/>
      <c r="AA72" s="22">
        <f t="shared" si="73"/>
        <v>1</v>
      </c>
      <c r="AB72" s="23"/>
      <c r="AC72" s="21">
        <v>1.0</v>
      </c>
      <c r="AD72" s="22">
        <f t="shared" si="74"/>
        <v>0</v>
      </c>
      <c r="AE72" s="23"/>
      <c r="AF72" s="22"/>
      <c r="AG72" s="22">
        <f t="shared" si="75"/>
        <v>0</v>
      </c>
      <c r="AH72" s="23"/>
      <c r="AI72" s="22"/>
      <c r="AJ72" s="22">
        <f t="shared" si="76"/>
        <v>0</v>
      </c>
      <c r="AK72" s="23"/>
      <c r="AL72" s="22"/>
      <c r="AM72" s="22">
        <f t="shared" si="77"/>
        <v>0</v>
      </c>
      <c r="AN72" s="23"/>
      <c r="AO72" s="22"/>
      <c r="AP72" s="22">
        <f t="shared" si="78"/>
        <v>0</v>
      </c>
      <c r="AQ72" s="23"/>
      <c r="AR72" s="22"/>
      <c r="AS72" s="22">
        <f t="shared" si="79"/>
        <v>0</v>
      </c>
      <c r="AT72" s="23"/>
      <c r="AU72" s="22"/>
      <c r="AV72" s="22">
        <f t="shared" si="80"/>
        <v>0</v>
      </c>
      <c r="AW72" s="23"/>
      <c r="AX72" s="22"/>
      <c r="AY72" s="22">
        <f t="shared" si="81"/>
        <v>0</v>
      </c>
      <c r="AZ72" s="23"/>
      <c r="BA72" s="22"/>
      <c r="BB72" s="22">
        <f t="shared" si="82"/>
        <v>0</v>
      </c>
      <c r="BC72" s="23"/>
      <c r="BD72" s="22"/>
      <c r="BE72" s="22">
        <f t="shared" si="83"/>
        <v>0</v>
      </c>
      <c r="BF72" s="23"/>
      <c r="BG72" s="22"/>
      <c r="BH72" s="22">
        <f t="shared" si="84"/>
        <v>0</v>
      </c>
      <c r="BI72" s="23"/>
      <c r="BJ72" s="22"/>
      <c r="BK72" s="22">
        <f t="shared" si="85"/>
        <v>0</v>
      </c>
      <c r="BL72" s="23"/>
      <c r="BM72" s="22"/>
      <c r="BN72" s="22">
        <f t="shared" si="86"/>
        <v>0</v>
      </c>
      <c r="BO72" s="23"/>
      <c r="BP72" s="24">
        <f t="shared" si="87"/>
        <v>1</v>
      </c>
      <c r="BQ72" s="24">
        <f t="shared" si="88"/>
        <v>0</v>
      </c>
    </row>
    <row r="73" ht="15.75" customHeight="1">
      <c r="A73" s="2"/>
      <c r="B73" s="31" t="s">
        <v>210</v>
      </c>
      <c r="C73" s="20" t="s">
        <v>211</v>
      </c>
      <c r="D73" s="20" t="s">
        <v>212</v>
      </c>
      <c r="E73" s="11" t="s">
        <v>73</v>
      </c>
      <c r="F73" s="11" t="s">
        <v>65</v>
      </c>
      <c r="G73" s="11">
        <v>0.5</v>
      </c>
      <c r="H73" s="22"/>
      <c r="I73" s="22">
        <f t="shared" si="67"/>
        <v>0.5</v>
      </c>
      <c r="J73" s="23"/>
      <c r="K73" s="22"/>
      <c r="L73" s="22">
        <f t="shared" si="68"/>
        <v>0.5</v>
      </c>
      <c r="M73" s="23"/>
      <c r="N73" s="22"/>
      <c r="O73" s="22">
        <f t="shared" si="69"/>
        <v>0.5</v>
      </c>
      <c r="P73" s="23"/>
      <c r="Q73" s="22"/>
      <c r="R73" s="22">
        <f t="shared" si="70"/>
        <v>0.5</v>
      </c>
      <c r="S73" s="23"/>
      <c r="T73" s="21"/>
      <c r="U73" s="22">
        <f t="shared" si="71"/>
        <v>0.5</v>
      </c>
      <c r="V73" s="23"/>
      <c r="W73" s="21"/>
      <c r="X73" s="22">
        <f t="shared" si="72"/>
        <v>0.5</v>
      </c>
      <c r="Y73" s="23"/>
      <c r="Z73" s="21"/>
      <c r="AA73" s="22">
        <f t="shared" si="73"/>
        <v>0.5</v>
      </c>
      <c r="AB73" s="23"/>
      <c r="AC73" s="21">
        <v>0.5</v>
      </c>
      <c r="AD73" s="22">
        <f t="shared" si="74"/>
        <v>0</v>
      </c>
      <c r="AE73" s="23"/>
      <c r="AF73" s="22"/>
      <c r="AG73" s="22">
        <f t="shared" si="75"/>
        <v>0</v>
      </c>
      <c r="AH73" s="23"/>
      <c r="AI73" s="22"/>
      <c r="AJ73" s="22">
        <f t="shared" si="76"/>
        <v>0</v>
      </c>
      <c r="AK73" s="23"/>
      <c r="AL73" s="22"/>
      <c r="AM73" s="22">
        <f t="shared" si="77"/>
        <v>0</v>
      </c>
      <c r="AN73" s="23"/>
      <c r="AO73" s="22"/>
      <c r="AP73" s="22">
        <f t="shared" si="78"/>
        <v>0</v>
      </c>
      <c r="AQ73" s="23"/>
      <c r="AR73" s="22"/>
      <c r="AS73" s="22">
        <f t="shared" si="79"/>
        <v>0</v>
      </c>
      <c r="AT73" s="23"/>
      <c r="AU73" s="22"/>
      <c r="AV73" s="22">
        <f t="shared" si="80"/>
        <v>0</v>
      </c>
      <c r="AW73" s="23"/>
      <c r="AX73" s="22"/>
      <c r="AY73" s="22">
        <f t="shared" si="81"/>
        <v>0</v>
      </c>
      <c r="AZ73" s="23"/>
      <c r="BA73" s="22"/>
      <c r="BB73" s="22">
        <f t="shared" si="82"/>
        <v>0</v>
      </c>
      <c r="BC73" s="23"/>
      <c r="BD73" s="22"/>
      <c r="BE73" s="22">
        <f t="shared" si="83"/>
        <v>0</v>
      </c>
      <c r="BF73" s="23"/>
      <c r="BG73" s="22"/>
      <c r="BH73" s="22">
        <f t="shared" si="84"/>
        <v>0</v>
      </c>
      <c r="BI73" s="23"/>
      <c r="BJ73" s="22"/>
      <c r="BK73" s="22">
        <f t="shared" si="85"/>
        <v>0</v>
      </c>
      <c r="BL73" s="23"/>
      <c r="BM73" s="22"/>
      <c r="BN73" s="22">
        <f t="shared" si="86"/>
        <v>0</v>
      </c>
      <c r="BO73" s="23"/>
      <c r="BP73" s="24">
        <f t="shared" si="87"/>
        <v>0.5</v>
      </c>
      <c r="BQ73" s="24">
        <f t="shared" si="88"/>
        <v>0</v>
      </c>
    </row>
    <row r="74" ht="15.75" customHeight="1">
      <c r="A74" s="2"/>
      <c r="B74" s="31"/>
      <c r="C74" s="11"/>
      <c r="D74" s="20" t="s">
        <v>213</v>
      </c>
      <c r="E74" s="11" t="s">
        <v>73</v>
      </c>
      <c r="F74" s="11" t="s">
        <v>65</v>
      </c>
      <c r="G74" s="11">
        <v>0.5</v>
      </c>
      <c r="H74" s="22"/>
      <c r="I74" s="22">
        <f t="shared" si="67"/>
        <v>0.5</v>
      </c>
      <c r="J74" s="23"/>
      <c r="K74" s="22"/>
      <c r="L74" s="22">
        <f t="shared" si="68"/>
        <v>0.5</v>
      </c>
      <c r="M74" s="23"/>
      <c r="N74" s="22"/>
      <c r="O74" s="22">
        <f t="shared" si="69"/>
        <v>0.5</v>
      </c>
      <c r="P74" s="23"/>
      <c r="Q74" s="22"/>
      <c r="R74" s="22">
        <f t="shared" si="70"/>
        <v>0.5</v>
      </c>
      <c r="S74" s="23"/>
      <c r="T74" s="21"/>
      <c r="U74" s="22">
        <f t="shared" si="71"/>
        <v>0.5</v>
      </c>
      <c r="V74" s="23"/>
      <c r="W74" s="22"/>
      <c r="X74" s="22">
        <f t="shared" si="72"/>
        <v>0.5</v>
      </c>
      <c r="Y74" s="23"/>
      <c r="Z74" s="21"/>
      <c r="AA74" s="22">
        <f t="shared" si="73"/>
        <v>0.5</v>
      </c>
      <c r="AB74" s="23"/>
      <c r="AC74" s="21">
        <v>0.5</v>
      </c>
      <c r="AD74" s="22">
        <f t="shared" si="74"/>
        <v>0</v>
      </c>
      <c r="AE74" s="23"/>
      <c r="AF74" s="22"/>
      <c r="AG74" s="22">
        <f t="shared" si="75"/>
        <v>0</v>
      </c>
      <c r="AH74" s="23"/>
      <c r="AI74" s="22"/>
      <c r="AJ74" s="22">
        <f t="shared" si="76"/>
        <v>0</v>
      </c>
      <c r="AK74" s="23"/>
      <c r="AL74" s="22"/>
      <c r="AM74" s="22">
        <f t="shared" si="77"/>
        <v>0</v>
      </c>
      <c r="AN74" s="23"/>
      <c r="AO74" s="22"/>
      <c r="AP74" s="22">
        <f t="shared" si="78"/>
        <v>0</v>
      </c>
      <c r="AQ74" s="23"/>
      <c r="AR74" s="22"/>
      <c r="AS74" s="22">
        <f t="shared" si="79"/>
        <v>0</v>
      </c>
      <c r="AT74" s="23"/>
      <c r="AU74" s="22"/>
      <c r="AV74" s="22">
        <f t="shared" si="80"/>
        <v>0</v>
      </c>
      <c r="AW74" s="23"/>
      <c r="AX74" s="22"/>
      <c r="AY74" s="22">
        <f t="shared" si="81"/>
        <v>0</v>
      </c>
      <c r="AZ74" s="23"/>
      <c r="BA74" s="22"/>
      <c r="BB74" s="22">
        <f t="shared" si="82"/>
        <v>0</v>
      </c>
      <c r="BC74" s="23"/>
      <c r="BD74" s="22"/>
      <c r="BE74" s="22">
        <f t="shared" si="83"/>
        <v>0</v>
      </c>
      <c r="BF74" s="23"/>
      <c r="BG74" s="22"/>
      <c r="BH74" s="22">
        <f t="shared" si="84"/>
        <v>0</v>
      </c>
      <c r="BI74" s="23"/>
      <c r="BJ74" s="22"/>
      <c r="BK74" s="22">
        <f t="shared" si="85"/>
        <v>0</v>
      </c>
      <c r="BL74" s="23"/>
      <c r="BM74" s="22"/>
      <c r="BN74" s="22">
        <f t="shared" si="86"/>
        <v>0</v>
      </c>
      <c r="BO74" s="23"/>
      <c r="BP74" s="24">
        <f t="shared" si="87"/>
        <v>0.5</v>
      </c>
      <c r="BQ74" s="24">
        <f t="shared" si="88"/>
        <v>0</v>
      </c>
    </row>
    <row r="75" ht="15.75" customHeight="1">
      <c r="A75" s="2"/>
      <c r="B75" s="28"/>
      <c r="C75" s="28"/>
      <c r="D75" s="28"/>
      <c r="E75" s="28"/>
      <c r="F75" s="28"/>
      <c r="G75" s="28"/>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0"/>
      <c r="BL75" s="30"/>
      <c r="BM75" s="30"/>
      <c r="BN75" s="30"/>
      <c r="BO75" s="30"/>
      <c r="BP75" s="30"/>
      <c r="BQ75" s="30"/>
    </row>
    <row r="76" ht="15.75" customHeight="1">
      <c r="A76" s="2"/>
      <c r="B76" s="19" t="s">
        <v>214</v>
      </c>
      <c r="C76" s="20" t="s">
        <v>215</v>
      </c>
      <c r="D76" s="20" t="s">
        <v>216</v>
      </c>
      <c r="E76" s="11" t="s">
        <v>73</v>
      </c>
      <c r="F76" s="11" t="s">
        <v>217</v>
      </c>
      <c r="G76" s="11">
        <v>6.0</v>
      </c>
      <c r="H76" s="22"/>
      <c r="I76" s="22">
        <f t="shared" ref="I76:I82" si="89">G76-H76</f>
        <v>6</v>
      </c>
      <c r="J76" s="23"/>
      <c r="K76" s="22"/>
      <c r="L76" s="22">
        <f t="shared" ref="L76:L82" si="90">I76-K76</f>
        <v>6</v>
      </c>
      <c r="M76" s="23"/>
      <c r="N76" s="22"/>
      <c r="O76" s="22">
        <f t="shared" ref="O76:O82" si="91">L76-N76</f>
        <v>6</v>
      </c>
      <c r="P76" s="23"/>
      <c r="Q76" s="22"/>
      <c r="R76" s="22">
        <f t="shared" ref="R76:R82" si="92">O76-Q76</f>
        <v>6</v>
      </c>
      <c r="S76" s="23"/>
      <c r="T76" s="22"/>
      <c r="U76" s="22">
        <f t="shared" ref="U76:U82" si="93">R76-T76</f>
        <v>6</v>
      </c>
      <c r="V76" s="23"/>
      <c r="W76" s="22"/>
      <c r="X76" s="22">
        <f t="shared" ref="X76:X82" si="94">U76-W76</f>
        <v>6</v>
      </c>
      <c r="Y76" s="23"/>
      <c r="Z76" s="22"/>
      <c r="AA76" s="22">
        <f t="shared" ref="AA76:AA82" si="95">X76-Z76</f>
        <v>6</v>
      </c>
      <c r="AB76" s="23"/>
      <c r="AC76" s="22"/>
      <c r="AD76" s="22">
        <f t="shared" ref="AD76:AD82" si="96">AA76-AC76</f>
        <v>6</v>
      </c>
      <c r="AE76" s="23"/>
      <c r="AF76" s="22"/>
      <c r="AG76" s="22">
        <f t="shared" ref="AG76:AG82" si="97">AD76-AF76</f>
        <v>6</v>
      </c>
      <c r="AH76" s="23"/>
      <c r="AI76" s="22"/>
      <c r="AJ76" s="22">
        <f t="shared" ref="AJ76:AJ82" si="98">AG76-AI76</f>
        <v>6</v>
      </c>
      <c r="AK76" s="23"/>
      <c r="AL76" s="22"/>
      <c r="AM76" s="22">
        <f t="shared" ref="AM76:AM82" si="99">AJ76-AL76</f>
        <v>6</v>
      </c>
      <c r="AN76" s="23"/>
      <c r="AO76" s="22"/>
      <c r="AP76" s="22">
        <f t="shared" ref="AP76:AP82" si="100">AM76-AO76</f>
        <v>6</v>
      </c>
      <c r="AQ76" s="23"/>
      <c r="AR76" s="22"/>
      <c r="AS76" s="22">
        <f t="shared" ref="AS76:AS82" si="101">AP76-AR76</f>
        <v>6</v>
      </c>
      <c r="AT76" s="23"/>
      <c r="AU76" s="22"/>
      <c r="AV76" s="22">
        <f t="shared" ref="AV76:AV82" si="102">AS76-AU76</f>
        <v>6</v>
      </c>
      <c r="AW76" s="23"/>
      <c r="AX76" s="22"/>
      <c r="AY76" s="22">
        <f t="shared" ref="AY76:AY82" si="103">AV76-AX76</f>
        <v>6</v>
      </c>
      <c r="AZ76" s="23"/>
      <c r="BA76" s="22"/>
      <c r="BB76" s="22">
        <f t="shared" ref="BB76:BB82" si="104">AY76-BA76</f>
        <v>6</v>
      </c>
      <c r="BC76" s="23"/>
      <c r="BD76" s="22"/>
      <c r="BE76" s="22">
        <f t="shared" ref="BE76:BE82" si="105">BB76-BD76</f>
        <v>6</v>
      </c>
      <c r="BF76" s="23"/>
      <c r="BG76" s="22"/>
      <c r="BH76" s="22">
        <f t="shared" ref="BH76:BH82" si="106">BE76-BG76</f>
        <v>6</v>
      </c>
      <c r="BI76" s="23"/>
      <c r="BJ76" s="22"/>
      <c r="BK76" s="22">
        <f t="shared" ref="BK76:BK82" si="107">BH76-BJ76</f>
        <v>6</v>
      </c>
      <c r="BL76" s="23"/>
      <c r="BM76" s="22"/>
      <c r="BN76" s="22">
        <f t="shared" ref="BN76:BN82" si="108">BK76-BM76</f>
        <v>6</v>
      </c>
      <c r="BO76" s="23"/>
      <c r="BP76" s="24">
        <f t="shared" ref="BP76:BP82" si="109">H76+K76+N76+Q76+T76+W76+Z76+AC76+AF76+AI76+AL76+AO76+AR76+AU76+AX76+BA76+BD76+BG76+BJ76+BM76</f>
        <v>0</v>
      </c>
      <c r="BQ76" s="24">
        <f t="shared" ref="BQ76:BQ82" si="110">G76-BP76</f>
        <v>6</v>
      </c>
    </row>
    <row r="77" ht="15.75" customHeight="1">
      <c r="A77" s="2"/>
      <c r="B77" s="31" t="s">
        <v>218</v>
      </c>
      <c r="C77" s="20" t="s">
        <v>219</v>
      </c>
      <c r="D77" s="20" t="s">
        <v>220</v>
      </c>
      <c r="E77" s="11"/>
      <c r="F77" s="11" t="s">
        <v>132</v>
      </c>
      <c r="G77" s="11">
        <v>26.0</v>
      </c>
      <c r="H77" s="22"/>
      <c r="I77" s="22">
        <f t="shared" si="89"/>
        <v>26</v>
      </c>
      <c r="J77" s="23"/>
      <c r="K77" s="22"/>
      <c r="L77" s="22">
        <f t="shared" si="90"/>
        <v>26</v>
      </c>
      <c r="M77" s="23"/>
      <c r="N77" s="22"/>
      <c r="O77" s="22">
        <f t="shared" si="91"/>
        <v>26</v>
      </c>
      <c r="P77" s="23"/>
      <c r="Q77" s="22"/>
      <c r="R77" s="22">
        <f t="shared" si="92"/>
        <v>26</v>
      </c>
      <c r="S77" s="23"/>
      <c r="T77" s="22"/>
      <c r="U77" s="22">
        <f t="shared" si="93"/>
        <v>26</v>
      </c>
      <c r="V77" s="23"/>
      <c r="W77" s="22"/>
      <c r="X77" s="22">
        <f t="shared" si="94"/>
        <v>26</v>
      </c>
      <c r="Y77" s="23"/>
      <c r="Z77" s="22"/>
      <c r="AA77" s="22">
        <f t="shared" si="95"/>
        <v>26</v>
      </c>
      <c r="AB77" s="23"/>
      <c r="AC77" s="22"/>
      <c r="AD77" s="22">
        <f t="shared" si="96"/>
        <v>26</v>
      </c>
      <c r="AE77" s="23"/>
      <c r="AF77" s="22"/>
      <c r="AG77" s="22">
        <f t="shared" si="97"/>
        <v>26</v>
      </c>
      <c r="AH77" s="23"/>
      <c r="AI77" s="22"/>
      <c r="AJ77" s="22">
        <f t="shared" si="98"/>
        <v>26</v>
      </c>
      <c r="AK77" s="23"/>
      <c r="AL77" s="22"/>
      <c r="AM77" s="22">
        <f t="shared" si="99"/>
        <v>26</v>
      </c>
      <c r="AN77" s="23"/>
      <c r="AO77" s="22"/>
      <c r="AP77" s="22">
        <f t="shared" si="100"/>
        <v>26</v>
      </c>
      <c r="AQ77" s="23"/>
      <c r="AR77" s="22"/>
      <c r="AS77" s="22">
        <f t="shared" si="101"/>
        <v>26</v>
      </c>
      <c r="AT77" s="23"/>
      <c r="AU77" s="22"/>
      <c r="AV77" s="22">
        <f t="shared" si="102"/>
        <v>26</v>
      </c>
      <c r="AW77" s="23"/>
      <c r="AX77" s="22"/>
      <c r="AY77" s="22">
        <f t="shared" si="103"/>
        <v>26</v>
      </c>
      <c r="AZ77" s="23"/>
      <c r="BA77" s="22"/>
      <c r="BB77" s="22">
        <f t="shared" si="104"/>
        <v>26</v>
      </c>
      <c r="BC77" s="23"/>
      <c r="BD77" s="22"/>
      <c r="BE77" s="22">
        <f t="shared" si="105"/>
        <v>26</v>
      </c>
      <c r="BF77" s="23"/>
      <c r="BG77" s="22"/>
      <c r="BH77" s="22">
        <f t="shared" si="106"/>
        <v>26</v>
      </c>
      <c r="BI77" s="23"/>
      <c r="BJ77" s="22"/>
      <c r="BK77" s="22">
        <f t="shared" si="107"/>
        <v>26</v>
      </c>
      <c r="BL77" s="23"/>
      <c r="BM77" s="22"/>
      <c r="BN77" s="22">
        <f t="shared" si="108"/>
        <v>26</v>
      </c>
      <c r="BO77" s="23"/>
      <c r="BP77" s="24">
        <f t="shared" si="109"/>
        <v>0</v>
      </c>
      <c r="BQ77" s="24">
        <f t="shared" si="110"/>
        <v>26</v>
      </c>
    </row>
    <row r="78" ht="15.75" customHeight="1">
      <c r="A78" s="2"/>
      <c r="B78" s="31" t="s">
        <v>221</v>
      </c>
      <c r="C78" s="20" t="s">
        <v>222</v>
      </c>
      <c r="D78" s="20" t="s">
        <v>223</v>
      </c>
      <c r="E78" s="11"/>
      <c r="F78" s="11" t="s">
        <v>132</v>
      </c>
      <c r="G78" s="11">
        <v>10.0</v>
      </c>
      <c r="H78" s="22"/>
      <c r="I78" s="22">
        <f t="shared" si="89"/>
        <v>10</v>
      </c>
      <c r="J78" s="23"/>
      <c r="K78" s="22"/>
      <c r="L78" s="22">
        <f t="shared" si="90"/>
        <v>10</v>
      </c>
      <c r="M78" s="23"/>
      <c r="N78" s="22"/>
      <c r="O78" s="22">
        <f t="shared" si="91"/>
        <v>10</v>
      </c>
      <c r="P78" s="23"/>
      <c r="Q78" s="22"/>
      <c r="R78" s="22">
        <f t="shared" si="92"/>
        <v>10</v>
      </c>
      <c r="S78" s="23"/>
      <c r="T78" s="22"/>
      <c r="U78" s="22">
        <f t="shared" si="93"/>
        <v>10</v>
      </c>
      <c r="V78" s="23"/>
      <c r="W78" s="22"/>
      <c r="X78" s="22">
        <f t="shared" si="94"/>
        <v>10</v>
      </c>
      <c r="Y78" s="23"/>
      <c r="Z78" s="22"/>
      <c r="AA78" s="22">
        <f t="shared" si="95"/>
        <v>10</v>
      </c>
      <c r="AB78" s="23"/>
      <c r="AC78" s="22"/>
      <c r="AD78" s="22">
        <f t="shared" si="96"/>
        <v>10</v>
      </c>
      <c r="AE78" s="23"/>
      <c r="AF78" s="22"/>
      <c r="AG78" s="22">
        <f t="shared" si="97"/>
        <v>10</v>
      </c>
      <c r="AH78" s="23"/>
      <c r="AI78" s="22"/>
      <c r="AJ78" s="22">
        <f t="shared" si="98"/>
        <v>10</v>
      </c>
      <c r="AK78" s="23"/>
      <c r="AL78" s="22"/>
      <c r="AM78" s="22">
        <f t="shared" si="99"/>
        <v>10</v>
      </c>
      <c r="AN78" s="23"/>
      <c r="AO78" s="22"/>
      <c r="AP78" s="22">
        <f t="shared" si="100"/>
        <v>10</v>
      </c>
      <c r="AQ78" s="23"/>
      <c r="AR78" s="22"/>
      <c r="AS78" s="22">
        <f t="shared" si="101"/>
        <v>10</v>
      </c>
      <c r="AT78" s="23"/>
      <c r="AU78" s="22"/>
      <c r="AV78" s="22">
        <f t="shared" si="102"/>
        <v>10</v>
      </c>
      <c r="AW78" s="23"/>
      <c r="AX78" s="22"/>
      <c r="AY78" s="22">
        <f t="shared" si="103"/>
        <v>10</v>
      </c>
      <c r="AZ78" s="23"/>
      <c r="BA78" s="22"/>
      <c r="BB78" s="22">
        <f t="shared" si="104"/>
        <v>10</v>
      </c>
      <c r="BC78" s="23"/>
      <c r="BD78" s="22"/>
      <c r="BE78" s="22">
        <f t="shared" si="105"/>
        <v>10</v>
      </c>
      <c r="BF78" s="23"/>
      <c r="BG78" s="22"/>
      <c r="BH78" s="22">
        <f t="shared" si="106"/>
        <v>10</v>
      </c>
      <c r="BI78" s="23"/>
      <c r="BJ78" s="22"/>
      <c r="BK78" s="22">
        <f t="shared" si="107"/>
        <v>10</v>
      </c>
      <c r="BL78" s="23"/>
      <c r="BM78" s="22"/>
      <c r="BN78" s="22">
        <f t="shared" si="108"/>
        <v>10</v>
      </c>
      <c r="BO78" s="23"/>
      <c r="BP78" s="24">
        <f t="shared" si="109"/>
        <v>0</v>
      </c>
      <c r="BQ78" s="24">
        <f t="shared" si="110"/>
        <v>10</v>
      </c>
    </row>
    <row r="79" ht="15.75" customHeight="1">
      <c r="A79" s="2"/>
      <c r="B79" s="31" t="s">
        <v>224</v>
      </c>
      <c r="C79" s="20" t="s">
        <v>225</v>
      </c>
      <c r="D79" s="20" t="s">
        <v>226</v>
      </c>
      <c r="E79" s="11"/>
      <c r="F79" s="11" t="s">
        <v>132</v>
      </c>
      <c r="G79" s="11">
        <v>4.0</v>
      </c>
      <c r="H79" s="22"/>
      <c r="I79" s="22">
        <f t="shared" si="89"/>
        <v>4</v>
      </c>
      <c r="J79" s="23"/>
      <c r="K79" s="22"/>
      <c r="L79" s="22">
        <f t="shared" si="90"/>
        <v>4</v>
      </c>
      <c r="M79" s="23"/>
      <c r="N79" s="22"/>
      <c r="O79" s="22">
        <f t="shared" si="91"/>
        <v>4</v>
      </c>
      <c r="P79" s="23"/>
      <c r="Q79" s="22"/>
      <c r="R79" s="22">
        <f t="shared" si="92"/>
        <v>4</v>
      </c>
      <c r="S79" s="23"/>
      <c r="T79" s="22"/>
      <c r="U79" s="22">
        <f t="shared" si="93"/>
        <v>4</v>
      </c>
      <c r="V79" s="23"/>
      <c r="W79" s="22"/>
      <c r="X79" s="22">
        <f t="shared" si="94"/>
        <v>4</v>
      </c>
      <c r="Y79" s="23"/>
      <c r="Z79" s="22"/>
      <c r="AA79" s="22">
        <f t="shared" si="95"/>
        <v>4</v>
      </c>
      <c r="AB79" s="23"/>
      <c r="AC79" s="22"/>
      <c r="AD79" s="22">
        <f t="shared" si="96"/>
        <v>4</v>
      </c>
      <c r="AE79" s="23"/>
      <c r="AF79" s="22"/>
      <c r="AG79" s="22">
        <f t="shared" si="97"/>
        <v>4</v>
      </c>
      <c r="AH79" s="23"/>
      <c r="AI79" s="22"/>
      <c r="AJ79" s="22">
        <f t="shared" si="98"/>
        <v>4</v>
      </c>
      <c r="AK79" s="23"/>
      <c r="AL79" s="22"/>
      <c r="AM79" s="22">
        <f t="shared" si="99"/>
        <v>4</v>
      </c>
      <c r="AN79" s="23"/>
      <c r="AO79" s="22"/>
      <c r="AP79" s="22">
        <f t="shared" si="100"/>
        <v>4</v>
      </c>
      <c r="AQ79" s="23"/>
      <c r="AR79" s="22"/>
      <c r="AS79" s="22">
        <f t="shared" si="101"/>
        <v>4</v>
      </c>
      <c r="AT79" s="23"/>
      <c r="AU79" s="22"/>
      <c r="AV79" s="22">
        <f t="shared" si="102"/>
        <v>4</v>
      </c>
      <c r="AW79" s="23"/>
      <c r="AX79" s="22"/>
      <c r="AY79" s="22">
        <f t="shared" si="103"/>
        <v>4</v>
      </c>
      <c r="AZ79" s="23"/>
      <c r="BA79" s="22"/>
      <c r="BB79" s="22">
        <f t="shared" si="104"/>
        <v>4</v>
      </c>
      <c r="BC79" s="23"/>
      <c r="BD79" s="22"/>
      <c r="BE79" s="22">
        <f t="shared" si="105"/>
        <v>4</v>
      </c>
      <c r="BF79" s="23"/>
      <c r="BG79" s="22"/>
      <c r="BH79" s="22">
        <f t="shared" si="106"/>
        <v>4</v>
      </c>
      <c r="BI79" s="23"/>
      <c r="BJ79" s="22"/>
      <c r="BK79" s="22">
        <f t="shared" si="107"/>
        <v>4</v>
      </c>
      <c r="BL79" s="23"/>
      <c r="BM79" s="22"/>
      <c r="BN79" s="22">
        <f t="shared" si="108"/>
        <v>4</v>
      </c>
      <c r="BO79" s="23"/>
      <c r="BP79" s="24">
        <f t="shared" si="109"/>
        <v>0</v>
      </c>
      <c r="BQ79" s="24">
        <f t="shared" si="110"/>
        <v>4</v>
      </c>
    </row>
    <row r="80" ht="15.75" customHeight="1">
      <c r="A80" s="2"/>
      <c r="B80" s="31" t="s">
        <v>227</v>
      </c>
      <c r="C80" s="20" t="s">
        <v>228</v>
      </c>
      <c r="D80" s="20" t="s">
        <v>229</v>
      </c>
      <c r="E80" s="11"/>
      <c r="F80" s="11" t="s">
        <v>132</v>
      </c>
      <c r="G80" s="11">
        <v>10.0</v>
      </c>
      <c r="H80" s="22"/>
      <c r="I80" s="22">
        <f t="shared" si="89"/>
        <v>10</v>
      </c>
      <c r="J80" s="23"/>
      <c r="K80" s="22"/>
      <c r="L80" s="22">
        <f t="shared" si="90"/>
        <v>10</v>
      </c>
      <c r="M80" s="23"/>
      <c r="N80" s="22"/>
      <c r="O80" s="22">
        <f t="shared" si="91"/>
        <v>10</v>
      </c>
      <c r="P80" s="23"/>
      <c r="Q80" s="22"/>
      <c r="R80" s="22">
        <f t="shared" si="92"/>
        <v>10</v>
      </c>
      <c r="S80" s="23"/>
      <c r="T80" s="22"/>
      <c r="U80" s="22">
        <f t="shared" si="93"/>
        <v>10</v>
      </c>
      <c r="V80" s="23"/>
      <c r="W80" s="22"/>
      <c r="X80" s="22">
        <f t="shared" si="94"/>
        <v>10</v>
      </c>
      <c r="Y80" s="23"/>
      <c r="Z80" s="22"/>
      <c r="AA80" s="22">
        <f t="shared" si="95"/>
        <v>10</v>
      </c>
      <c r="AB80" s="23"/>
      <c r="AC80" s="22"/>
      <c r="AD80" s="22">
        <f t="shared" si="96"/>
        <v>10</v>
      </c>
      <c r="AE80" s="23"/>
      <c r="AF80" s="22"/>
      <c r="AG80" s="22">
        <f t="shared" si="97"/>
        <v>10</v>
      </c>
      <c r="AH80" s="23"/>
      <c r="AI80" s="22"/>
      <c r="AJ80" s="22">
        <f t="shared" si="98"/>
        <v>10</v>
      </c>
      <c r="AK80" s="23"/>
      <c r="AL80" s="22"/>
      <c r="AM80" s="22">
        <f t="shared" si="99"/>
        <v>10</v>
      </c>
      <c r="AN80" s="23"/>
      <c r="AO80" s="22"/>
      <c r="AP80" s="22">
        <f t="shared" si="100"/>
        <v>10</v>
      </c>
      <c r="AQ80" s="23"/>
      <c r="AR80" s="22"/>
      <c r="AS80" s="22">
        <f t="shared" si="101"/>
        <v>10</v>
      </c>
      <c r="AT80" s="23"/>
      <c r="AU80" s="22"/>
      <c r="AV80" s="22">
        <f t="shared" si="102"/>
        <v>10</v>
      </c>
      <c r="AW80" s="23"/>
      <c r="AX80" s="22"/>
      <c r="AY80" s="22">
        <f t="shared" si="103"/>
        <v>10</v>
      </c>
      <c r="AZ80" s="23"/>
      <c r="BA80" s="22"/>
      <c r="BB80" s="22">
        <f t="shared" si="104"/>
        <v>10</v>
      </c>
      <c r="BC80" s="23"/>
      <c r="BD80" s="22"/>
      <c r="BE80" s="22">
        <f t="shared" si="105"/>
        <v>10</v>
      </c>
      <c r="BF80" s="23"/>
      <c r="BG80" s="22"/>
      <c r="BH80" s="22">
        <f t="shared" si="106"/>
        <v>10</v>
      </c>
      <c r="BI80" s="23"/>
      <c r="BJ80" s="22"/>
      <c r="BK80" s="22">
        <f t="shared" si="107"/>
        <v>10</v>
      </c>
      <c r="BL80" s="23"/>
      <c r="BM80" s="22"/>
      <c r="BN80" s="22">
        <f t="shared" si="108"/>
        <v>10</v>
      </c>
      <c r="BO80" s="23"/>
      <c r="BP80" s="24">
        <f t="shared" si="109"/>
        <v>0</v>
      </c>
      <c r="BQ80" s="24">
        <f t="shared" si="110"/>
        <v>10</v>
      </c>
    </row>
    <row r="81" ht="15.75" customHeight="1">
      <c r="A81" s="2"/>
      <c r="B81" s="31" t="s">
        <v>230</v>
      </c>
      <c r="C81" s="20" t="s">
        <v>231</v>
      </c>
      <c r="D81" s="20" t="s">
        <v>232</v>
      </c>
      <c r="E81" s="11"/>
      <c r="F81" s="11" t="s">
        <v>132</v>
      </c>
      <c r="G81" s="11">
        <v>16.0</v>
      </c>
      <c r="H81" s="22"/>
      <c r="I81" s="22">
        <f t="shared" si="89"/>
        <v>16</v>
      </c>
      <c r="J81" s="23"/>
      <c r="K81" s="22"/>
      <c r="L81" s="22">
        <f t="shared" si="90"/>
        <v>16</v>
      </c>
      <c r="M81" s="23"/>
      <c r="N81" s="22"/>
      <c r="O81" s="22">
        <f t="shared" si="91"/>
        <v>16</v>
      </c>
      <c r="P81" s="23"/>
      <c r="Q81" s="22"/>
      <c r="R81" s="22">
        <f t="shared" si="92"/>
        <v>16</v>
      </c>
      <c r="S81" s="23"/>
      <c r="T81" s="22"/>
      <c r="U81" s="22">
        <f t="shared" si="93"/>
        <v>16</v>
      </c>
      <c r="V81" s="23"/>
      <c r="W81" s="22"/>
      <c r="X81" s="22">
        <f t="shared" si="94"/>
        <v>16</v>
      </c>
      <c r="Y81" s="23"/>
      <c r="Z81" s="22"/>
      <c r="AA81" s="22">
        <f t="shared" si="95"/>
        <v>16</v>
      </c>
      <c r="AB81" s="23"/>
      <c r="AC81" s="22"/>
      <c r="AD81" s="22">
        <f t="shared" si="96"/>
        <v>16</v>
      </c>
      <c r="AE81" s="23"/>
      <c r="AF81" s="22"/>
      <c r="AG81" s="22">
        <f t="shared" si="97"/>
        <v>16</v>
      </c>
      <c r="AH81" s="23"/>
      <c r="AI81" s="22"/>
      <c r="AJ81" s="22">
        <f t="shared" si="98"/>
        <v>16</v>
      </c>
      <c r="AK81" s="23"/>
      <c r="AL81" s="22"/>
      <c r="AM81" s="22">
        <f t="shared" si="99"/>
        <v>16</v>
      </c>
      <c r="AN81" s="23"/>
      <c r="AO81" s="22"/>
      <c r="AP81" s="22">
        <f t="shared" si="100"/>
        <v>16</v>
      </c>
      <c r="AQ81" s="23"/>
      <c r="AR81" s="22"/>
      <c r="AS81" s="22">
        <f t="shared" si="101"/>
        <v>16</v>
      </c>
      <c r="AT81" s="23"/>
      <c r="AU81" s="22"/>
      <c r="AV81" s="22">
        <f t="shared" si="102"/>
        <v>16</v>
      </c>
      <c r="AW81" s="23"/>
      <c r="AX81" s="22"/>
      <c r="AY81" s="22">
        <f t="shared" si="103"/>
        <v>16</v>
      </c>
      <c r="AZ81" s="23"/>
      <c r="BA81" s="22"/>
      <c r="BB81" s="22">
        <f t="shared" si="104"/>
        <v>16</v>
      </c>
      <c r="BC81" s="23"/>
      <c r="BD81" s="22"/>
      <c r="BE81" s="22">
        <f t="shared" si="105"/>
        <v>16</v>
      </c>
      <c r="BF81" s="23"/>
      <c r="BG81" s="22"/>
      <c r="BH81" s="22">
        <f t="shared" si="106"/>
        <v>16</v>
      </c>
      <c r="BI81" s="23"/>
      <c r="BJ81" s="22"/>
      <c r="BK81" s="22">
        <f t="shared" si="107"/>
        <v>16</v>
      </c>
      <c r="BL81" s="23"/>
      <c r="BM81" s="22"/>
      <c r="BN81" s="22">
        <f t="shared" si="108"/>
        <v>16</v>
      </c>
      <c r="BO81" s="23"/>
      <c r="BP81" s="24">
        <f t="shared" si="109"/>
        <v>0</v>
      </c>
      <c r="BQ81" s="24">
        <f t="shared" si="110"/>
        <v>16</v>
      </c>
    </row>
    <row r="82" ht="15.75" customHeight="1">
      <c r="A82" s="2"/>
      <c r="B82" s="31" t="s">
        <v>233</v>
      </c>
      <c r="C82" s="20" t="s">
        <v>234</v>
      </c>
      <c r="D82" s="20" t="s">
        <v>235</v>
      </c>
      <c r="E82" s="11"/>
      <c r="F82" s="11" t="s">
        <v>132</v>
      </c>
      <c r="G82" s="11">
        <v>16.0</v>
      </c>
      <c r="H82" s="22"/>
      <c r="I82" s="22">
        <f t="shared" si="89"/>
        <v>16</v>
      </c>
      <c r="J82" s="23"/>
      <c r="K82" s="22"/>
      <c r="L82" s="22">
        <f t="shared" si="90"/>
        <v>16</v>
      </c>
      <c r="M82" s="23"/>
      <c r="N82" s="22"/>
      <c r="O82" s="22">
        <f t="shared" si="91"/>
        <v>16</v>
      </c>
      <c r="P82" s="23"/>
      <c r="Q82" s="22"/>
      <c r="R82" s="22">
        <f t="shared" si="92"/>
        <v>16</v>
      </c>
      <c r="S82" s="23"/>
      <c r="T82" s="22"/>
      <c r="U82" s="22">
        <f t="shared" si="93"/>
        <v>16</v>
      </c>
      <c r="V82" s="23"/>
      <c r="W82" s="22"/>
      <c r="X82" s="22">
        <f t="shared" si="94"/>
        <v>16</v>
      </c>
      <c r="Y82" s="23"/>
      <c r="Z82" s="22"/>
      <c r="AA82" s="22">
        <f t="shared" si="95"/>
        <v>16</v>
      </c>
      <c r="AB82" s="23"/>
      <c r="AC82" s="22"/>
      <c r="AD82" s="22">
        <f t="shared" si="96"/>
        <v>16</v>
      </c>
      <c r="AE82" s="23"/>
      <c r="AF82" s="22"/>
      <c r="AG82" s="22">
        <f t="shared" si="97"/>
        <v>16</v>
      </c>
      <c r="AH82" s="23"/>
      <c r="AI82" s="22"/>
      <c r="AJ82" s="22">
        <f t="shared" si="98"/>
        <v>16</v>
      </c>
      <c r="AK82" s="23"/>
      <c r="AL82" s="22"/>
      <c r="AM82" s="22">
        <f t="shared" si="99"/>
        <v>16</v>
      </c>
      <c r="AN82" s="23"/>
      <c r="AO82" s="22"/>
      <c r="AP82" s="22">
        <f t="shared" si="100"/>
        <v>16</v>
      </c>
      <c r="AQ82" s="23"/>
      <c r="AR82" s="22"/>
      <c r="AS82" s="22">
        <f t="shared" si="101"/>
        <v>16</v>
      </c>
      <c r="AT82" s="23"/>
      <c r="AU82" s="22"/>
      <c r="AV82" s="22">
        <f t="shared" si="102"/>
        <v>16</v>
      </c>
      <c r="AW82" s="23"/>
      <c r="AX82" s="22"/>
      <c r="AY82" s="22">
        <f t="shared" si="103"/>
        <v>16</v>
      </c>
      <c r="AZ82" s="23"/>
      <c r="BA82" s="22"/>
      <c r="BB82" s="22">
        <f t="shared" si="104"/>
        <v>16</v>
      </c>
      <c r="BC82" s="23"/>
      <c r="BD82" s="22"/>
      <c r="BE82" s="22">
        <f t="shared" si="105"/>
        <v>16</v>
      </c>
      <c r="BF82" s="23"/>
      <c r="BG82" s="22"/>
      <c r="BH82" s="22">
        <f t="shared" si="106"/>
        <v>16</v>
      </c>
      <c r="BI82" s="23"/>
      <c r="BJ82" s="22"/>
      <c r="BK82" s="22">
        <f t="shared" si="107"/>
        <v>16</v>
      </c>
      <c r="BL82" s="23"/>
      <c r="BM82" s="22"/>
      <c r="BN82" s="22">
        <f t="shared" si="108"/>
        <v>16</v>
      </c>
      <c r="BO82" s="23"/>
      <c r="BP82" s="24">
        <f t="shared" si="109"/>
        <v>0</v>
      </c>
      <c r="BQ82" s="24">
        <f t="shared" si="110"/>
        <v>16</v>
      </c>
    </row>
    <row r="83" ht="15.75" customHeight="1">
      <c r="A83" s="2"/>
      <c r="B83" s="28"/>
      <c r="C83" s="28"/>
      <c r="D83" s="28"/>
      <c r="E83" s="28"/>
      <c r="F83" s="28"/>
      <c r="G83" s="28"/>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c r="BO83" s="30"/>
      <c r="BP83" s="30"/>
      <c r="BQ83" s="30"/>
    </row>
    <row r="84" ht="15.75" customHeight="1">
      <c r="A84" s="2"/>
      <c r="B84" s="19" t="s">
        <v>236</v>
      </c>
      <c r="C84" s="20" t="s">
        <v>237</v>
      </c>
      <c r="D84" s="20" t="s">
        <v>238</v>
      </c>
      <c r="E84" s="11"/>
      <c r="F84" s="11" t="s">
        <v>217</v>
      </c>
      <c r="G84" s="11">
        <v>6.0</v>
      </c>
      <c r="H84" s="22"/>
      <c r="I84" s="22">
        <f t="shared" ref="I84:I86" si="111">G84-H84</f>
        <v>6</v>
      </c>
      <c r="J84" s="23"/>
      <c r="K84" s="22"/>
      <c r="L84" s="22">
        <f t="shared" ref="L84:L86" si="112">I84-K84</f>
        <v>6</v>
      </c>
      <c r="M84" s="23"/>
      <c r="N84" s="22"/>
      <c r="O84" s="22">
        <f t="shared" ref="O84:O86" si="113">L84-N84</f>
        <v>6</v>
      </c>
      <c r="P84" s="23"/>
      <c r="Q84" s="22"/>
      <c r="R84" s="22">
        <f t="shared" ref="R84:R86" si="114">O84-Q84</f>
        <v>6</v>
      </c>
      <c r="S84" s="23"/>
      <c r="T84" s="22"/>
      <c r="U84" s="22">
        <f t="shared" ref="U84:U86" si="115">R84-T84</f>
        <v>6</v>
      </c>
      <c r="V84" s="23"/>
      <c r="W84" s="22"/>
      <c r="X84" s="22">
        <f t="shared" ref="X84:X86" si="116">U84-W84</f>
        <v>6</v>
      </c>
      <c r="Y84" s="23"/>
      <c r="Z84" s="22"/>
      <c r="AA84" s="22">
        <f t="shared" ref="AA84:AA86" si="117">X84-Z84</f>
        <v>6</v>
      </c>
      <c r="AB84" s="23"/>
      <c r="AC84" s="22"/>
      <c r="AD84" s="22">
        <f t="shared" ref="AD84:AD86" si="118">AA84-AC84</f>
        <v>6</v>
      </c>
      <c r="AE84" s="23"/>
      <c r="AF84" s="22"/>
      <c r="AG84" s="22">
        <f t="shared" ref="AG84:AG86" si="119">AD84-AF84</f>
        <v>6</v>
      </c>
      <c r="AH84" s="23"/>
      <c r="AI84" s="22"/>
      <c r="AJ84" s="22">
        <f t="shared" ref="AJ84:AJ86" si="120">AG84-AI84</f>
        <v>6</v>
      </c>
      <c r="AK84" s="23"/>
      <c r="AL84" s="22"/>
      <c r="AM84" s="22">
        <f t="shared" ref="AM84:AM86" si="121">AJ84-AL84</f>
        <v>6</v>
      </c>
      <c r="AN84" s="23"/>
      <c r="AO84" s="22"/>
      <c r="AP84" s="22">
        <f t="shared" ref="AP84:AP86" si="122">AM84-AO84</f>
        <v>6</v>
      </c>
      <c r="AQ84" s="23"/>
      <c r="AR84" s="22"/>
      <c r="AS84" s="22">
        <f t="shared" ref="AS84:AS86" si="123">AP84-AR84</f>
        <v>6</v>
      </c>
      <c r="AT84" s="23"/>
      <c r="AU84" s="22"/>
      <c r="AV84" s="22">
        <f t="shared" ref="AV84:AV86" si="124">AS84-AU84</f>
        <v>6</v>
      </c>
      <c r="AW84" s="23"/>
      <c r="AX84" s="22"/>
      <c r="AY84" s="22">
        <f t="shared" ref="AY84:AY86" si="125">AV84-AX84</f>
        <v>6</v>
      </c>
      <c r="AZ84" s="23"/>
      <c r="BA84" s="22"/>
      <c r="BB84" s="22">
        <f t="shared" ref="BB84:BB86" si="126">AY84-BA84</f>
        <v>6</v>
      </c>
      <c r="BC84" s="23"/>
      <c r="BD84" s="22"/>
      <c r="BE84" s="22">
        <f t="shared" ref="BE84:BE86" si="127">BB84-BD84</f>
        <v>6</v>
      </c>
      <c r="BF84" s="23"/>
      <c r="BG84" s="22"/>
      <c r="BH84" s="22">
        <f t="shared" ref="BH84:BH86" si="128">BE84-BG84</f>
        <v>6</v>
      </c>
      <c r="BI84" s="23"/>
      <c r="BJ84" s="22"/>
      <c r="BK84" s="22">
        <f t="shared" ref="BK84:BK86" si="129">BH84-BJ84</f>
        <v>6</v>
      </c>
      <c r="BL84" s="23"/>
      <c r="BM84" s="22"/>
      <c r="BN84" s="22">
        <f t="shared" ref="BN84:BN86" si="130">BK84-BM84</f>
        <v>6</v>
      </c>
      <c r="BO84" s="23"/>
      <c r="BP84" s="24">
        <f t="shared" ref="BP84:BP86" si="131">H84+K84+N84+Q84+T84+W84+Z84+AC84+AF84+AI84+AL84+AO84+AR84+AU84+AX84+BA84+BD84+BG84+BJ84+BM84</f>
        <v>0</v>
      </c>
      <c r="BQ84" s="24">
        <f t="shared" ref="BQ84:BQ86" si="132">G84-BP84</f>
        <v>6</v>
      </c>
    </row>
    <row r="85" ht="15.75" customHeight="1">
      <c r="A85" s="2"/>
      <c r="B85" s="19"/>
      <c r="C85" s="11"/>
      <c r="D85" s="20" t="s">
        <v>239</v>
      </c>
      <c r="E85" s="11"/>
      <c r="F85" s="11" t="s">
        <v>217</v>
      </c>
      <c r="G85" s="11">
        <v>5.0</v>
      </c>
      <c r="H85" s="22"/>
      <c r="I85" s="22">
        <f t="shared" si="111"/>
        <v>5</v>
      </c>
      <c r="J85" s="23"/>
      <c r="K85" s="22"/>
      <c r="L85" s="22">
        <f t="shared" si="112"/>
        <v>5</v>
      </c>
      <c r="M85" s="23"/>
      <c r="N85" s="22"/>
      <c r="O85" s="22">
        <f t="shared" si="113"/>
        <v>5</v>
      </c>
      <c r="P85" s="23"/>
      <c r="Q85" s="22"/>
      <c r="R85" s="22">
        <f t="shared" si="114"/>
        <v>5</v>
      </c>
      <c r="S85" s="23"/>
      <c r="T85" s="22"/>
      <c r="U85" s="22">
        <f t="shared" si="115"/>
        <v>5</v>
      </c>
      <c r="V85" s="23"/>
      <c r="W85" s="22"/>
      <c r="X85" s="22">
        <f t="shared" si="116"/>
        <v>5</v>
      </c>
      <c r="Y85" s="23"/>
      <c r="Z85" s="22"/>
      <c r="AA85" s="22">
        <f t="shared" si="117"/>
        <v>5</v>
      </c>
      <c r="AB85" s="23"/>
      <c r="AC85" s="22"/>
      <c r="AD85" s="22">
        <f t="shared" si="118"/>
        <v>5</v>
      </c>
      <c r="AE85" s="23"/>
      <c r="AF85" s="22"/>
      <c r="AG85" s="22">
        <f t="shared" si="119"/>
        <v>5</v>
      </c>
      <c r="AH85" s="23"/>
      <c r="AI85" s="22"/>
      <c r="AJ85" s="22">
        <f t="shared" si="120"/>
        <v>5</v>
      </c>
      <c r="AK85" s="23"/>
      <c r="AL85" s="22"/>
      <c r="AM85" s="22">
        <f t="shared" si="121"/>
        <v>5</v>
      </c>
      <c r="AN85" s="23"/>
      <c r="AO85" s="22"/>
      <c r="AP85" s="22">
        <f t="shared" si="122"/>
        <v>5</v>
      </c>
      <c r="AQ85" s="23"/>
      <c r="AR85" s="22"/>
      <c r="AS85" s="22">
        <f t="shared" si="123"/>
        <v>5</v>
      </c>
      <c r="AT85" s="23"/>
      <c r="AU85" s="22"/>
      <c r="AV85" s="22">
        <f t="shared" si="124"/>
        <v>5</v>
      </c>
      <c r="AW85" s="23"/>
      <c r="AX85" s="22"/>
      <c r="AY85" s="22">
        <f t="shared" si="125"/>
        <v>5</v>
      </c>
      <c r="AZ85" s="23"/>
      <c r="BA85" s="22"/>
      <c r="BB85" s="22">
        <f t="shared" si="126"/>
        <v>5</v>
      </c>
      <c r="BC85" s="23"/>
      <c r="BD85" s="22"/>
      <c r="BE85" s="22">
        <f t="shared" si="127"/>
        <v>5</v>
      </c>
      <c r="BF85" s="23"/>
      <c r="BG85" s="22"/>
      <c r="BH85" s="22">
        <f t="shared" si="128"/>
        <v>5</v>
      </c>
      <c r="BI85" s="23"/>
      <c r="BJ85" s="22"/>
      <c r="BK85" s="22">
        <f t="shared" si="129"/>
        <v>5</v>
      </c>
      <c r="BL85" s="23"/>
      <c r="BM85" s="22"/>
      <c r="BN85" s="22">
        <f t="shared" si="130"/>
        <v>5</v>
      </c>
      <c r="BO85" s="23"/>
      <c r="BP85" s="24">
        <f t="shared" si="131"/>
        <v>0</v>
      </c>
      <c r="BQ85" s="24">
        <f t="shared" si="132"/>
        <v>5</v>
      </c>
    </row>
    <row r="86" ht="15.75" customHeight="1">
      <c r="A86" s="2"/>
      <c r="B86" s="19"/>
      <c r="C86" s="11"/>
      <c r="D86" s="20" t="s">
        <v>240</v>
      </c>
      <c r="E86" s="11"/>
      <c r="F86" s="11" t="s">
        <v>217</v>
      </c>
      <c r="G86" s="11">
        <v>5.0</v>
      </c>
      <c r="H86" s="22"/>
      <c r="I86" s="22">
        <f t="shared" si="111"/>
        <v>5</v>
      </c>
      <c r="J86" s="23"/>
      <c r="K86" s="22"/>
      <c r="L86" s="22">
        <f t="shared" si="112"/>
        <v>5</v>
      </c>
      <c r="M86" s="23"/>
      <c r="N86" s="22"/>
      <c r="O86" s="22">
        <f t="shared" si="113"/>
        <v>5</v>
      </c>
      <c r="P86" s="23"/>
      <c r="Q86" s="22"/>
      <c r="R86" s="22">
        <f t="shared" si="114"/>
        <v>5</v>
      </c>
      <c r="S86" s="23"/>
      <c r="T86" s="22"/>
      <c r="U86" s="22">
        <f t="shared" si="115"/>
        <v>5</v>
      </c>
      <c r="V86" s="23"/>
      <c r="W86" s="22"/>
      <c r="X86" s="22">
        <f t="shared" si="116"/>
        <v>5</v>
      </c>
      <c r="Y86" s="23"/>
      <c r="Z86" s="22"/>
      <c r="AA86" s="22">
        <f t="shared" si="117"/>
        <v>5</v>
      </c>
      <c r="AB86" s="23"/>
      <c r="AC86" s="22"/>
      <c r="AD86" s="22">
        <f t="shared" si="118"/>
        <v>5</v>
      </c>
      <c r="AE86" s="23"/>
      <c r="AF86" s="22"/>
      <c r="AG86" s="22">
        <f t="shared" si="119"/>
        <v>5</v>
      </c>
      <c r="AH86" s="23"/>
      <c r="AI86" s="22"/>
      <c r="AJ86" s="22">
        <f t="shared" si="120"/>
        <v>5</v>
      </c>
      <c r="AK86" s="23"/>
      <c r="AL86" s="22"/>
      <c r="AM86" s="22">
        <f t="shared" si="121"/>
        <v>5</v>
      </c>
      <c r="AN86" s="23"/>
      <c r="AO86" s="22"/>
      <c r="AP86" s="22">
        <f t="shared" si="122"/>
        <v>5</v>
      </c>
      <c r="AQ86" s="23"/>
      <c r="AR86" s="22"/>
      <c r="AS86" s="22">
        <f t="shared" si="123"/>
        <v>5</v>
      </c>
      <c r="AT86" s="23"/>
      <c r="AU86" s="22"/>
      <c r="AV86" s="22">
        <f t="shared" si="124"/>
        <v>5</v>
      </c>
      <c r="AW86" s="23"/>
      <c r="AX86" s="22"/>
      <c r="AY86" s="22">
        <f t="shared" si="125"/>
        <v>5</v>
      </c>
      <c r="AZ86" s="23"/>
      <c r="BA86" s="22"/>
      <c r="BB86" s="22">
        <f t="shared" si="126"/>
        <v>5</v>
      </c>
      <c r="BC86" s="23"/>
      <c r="BD86" s="22"/>
      <c r="BE86" s="22">
        <f t="shared" si="127"/>
        <v>5</v>
      </c>
      <c r="BF86" s="23"/>
      <c r="BG86" s="22"/>
      <c r="BH86" s="22">
        <f t="shared" si="128"/>
        <v>5</v>
      </c>
      <c r="BI86" s="23"/>
      <c r="BJ86" s="22"/>
      <c r="BK86" s="22">
        <f t="shared" si="129"/>
        <v>5</v>
      </c>
      <c r="BL86" s="23"/>
      <c r="BM86" s="22"/>
      <c r="BN86" s="22">
        <f t="shared" si="130"/>
        <v>5</v>
      </c>
      <c r="BO86" s="23"/>
      <c r="BP86" s="24">
        <f t="shared" si="131"/>
        <v>0</v>
      </c>
      <c r="BQ86" s="24">
        <f t="shared" si="132"/>
        <v>5</v>
      </c>
    </row>
    <row r="87" ht="15.75" customHeight="1">
      <c r="A87" s="2"/>
      <c r="B87" s="28"/>
      <c r="C87" s="28"/>
      <c r="D87" s="28"/>
      <c r="E87" s="28"/>
      <c r="F87" s="28"/>
      <c r="G87" s="28"/>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c r="BM87" s="30"/>
      <c r="BN87" s="30"/>
      <c r="BO87" s="30"/>
      <c r="BP87" s="30"/>
      <c r="BQ87" s="30"/>
    </row>
    <row r="88" ht="15.75" customHeight="1">
      <c r="A88" s="2"/>
      <c r="B88" s="19" t="s">
        <v>241</v>
      </c>
      <c r="C88" s="20" t="s">
        <v>242</v>
      </c>
      <c r="D88" s="20" t="s">
        <v>243</v>
      </c>
      <c r="E88" s="11" t="s">
        <v>64</v>
      </c>
      <c r="F88" s="11" t="s">
        <v>132</v>
      </c>
      <c r="G88" s="11">
        <v>12.0</v>
      </c>
      <c r="H88" s="22"/>
      <c r="I88" s="22">
        <f t="shared" ref="I88:I90" si="133">G88-H88</f>
        <v>12</v>
      </c>
      <c r="J88" s="23"/>
      <c r="K88" s="22"/>
      <c r="L88" s="22">
        <f t="shared" ref="L88:L90" si="134">I88-K88</f>
        <v>12</v>
      </c>
      <c r="M88" s="23"/>
      <c r="N88" s="22"/>
      <c r="O88" s="22">
        <f t="shared" ref="O88:O90" si="135">L88-N88</f>
        <v>12</v>
      </c>
      <c r="P88" s="23"/>
      <c r="Q88" s="22"/>
      <c r="R88" s="22">
        <f t="shared" ref="R88:R90" si="136">O88-Q88</f>
        <v>12</v>
      </c>
      <c r="S88" s="23"/>
      <c r="T88" s="22"/>
      <c r="U88" s="22">
        <f t="shared" ref="U88:U90" si="137">R88-T88</f>
        <v>12</v>
      </c>
      <c r="V88" s="23"/>
      <c r="W88" s="22"/>
      <c r="X88" s="22">
        <f t="shared" ref="X88:X90" si="138">U88-W88</f>
        <v>12</v>
      </c>
      <c r="Y88" s="23"/>
      <c r="Z88" s="22"/>
      <c r="AA88" s="22">
        <f t="shared" ref="AA88:AA90" si="139">X88-Z88</f>
        <v>12</v>
      </c>
      <c r="AB88" s="23"/>
      <c r="AC88" s="22"/>
      <c r="AD88" s="22">
        <f t="shared" ref="AD88:AD90" si="140">AA88-AC88</f>
        <v>12</v>
      </c>
      <c r="AE88" s="23"/>
      <c r="AF88" s="22"/>
      <c r="AG88" s="22">
        <f t="shared" ref="AG88:AG90" si="141">AD88-AF88</f>
        <v>12</v>
      </c>
      <c r="AH88" s="23"/>
      <c r="AI88" s="22"/>
      <c r="AJ88" s="22">
        <f t="shared" ref="AJ88:AJ90" si="142">AG88-AI88</f>
        <v>12</v>
      </c>
      <c r="AK88" s="23"/>
      <c r="AL88" s="22"/>
      <c r="AM88" s="22">
        <f t="shared" ref="AM88:AM90" si="143">AJ88-AL88</f>
        <v>12</v>
      </c>
      <c r="AN88" s="23"/>
      <c r="AO88" s="22"/>
      <c r="AP88" s="22">
        <f t="shared" ref="AP88:AP90" si="144">AM88-AO88</f>
        <v>12</v>
      </c>
      <c r="AQ88" s="23"/>
      <c r="AR88" s="22"/>
      <c r="AS88" s="22">
        <f t="shared" ref="AS88:AS90" si="145">AP88-AR88</f>
        <v>12</v>
      </c>
      <c r="AT88" s="23"/>
      <c r="AU88" s="22"/>
      <c r="AV88" s="22">
        <f t="shared" ref="AV88:AV90" si="146">AS88-AU88</f>
        <v>12</v>
      </c>
      <c r="AW88" s="23"/>
      <c r="AX88" s="22"/>
      <c r="AY88" s="22">
        <f t="shared" ref="AY88:AY90" si="147">AV88-AX88</f>
        <v>12</v>
      </c>
      <c r="AZ88" s="23"/>
      <c r="BA88" s="22"/>
      <c r="BB88" s="22">
        <f t="shared" ref="BB88:BB90" si="148">AY88-BA88</f>
        <v>12</v>
      </c>
      <c r="BC88" s="23"/>
      <c r="BD88" s="22"/>
      <c r="BE88" s="22">
        <f t="shared" ref="BE88:BE90" si="149">BB88-BD88</f>
        <v>12</v>
      </c>
      <c r="BF88" s="23"/>
      <c r="BG88" s="22"/>
      <c r="BH88" s="22">
        <f t="shared" ref="BH88:BH90" si="150">BE88-BG88</f>
        <v>12</v>
      </c>
      <c r="BI88" s="23"/>
      <c r="BJ88" s="22"/>
      <c r="BK88" s="22">
        <f t="shared" ref="BK88:BK90" si="151">BH88-BJ88</f>
        <v>12</v>
      </c>
      <c r="BL88" s="23"/>
      <c r="BM88" s="22"/>
      <c r="BN88" s="22">
        <f t="shared" ref="BN88:BN90" si="152">BK88-BM88</f>
        <v>12</v>
      </c>
      <c r="BO88" s="23"/>
      <c r="BP88" s="24">
        <f t="shared" ref="BP88:BP90" si="153">H88+K88+N88+Q88+T88+W88+Z88+AC88+AF88+AI88+AL88+AO88+AR88+AU88+AX88+BA88+BD88+BG88+BJ88+BM88</f>
        <v>0</v>
      </c>
      <c r="BQ88" s="24">
        <f t="shared" ref="BQ88:BQ90" si="154">G88-BP88</f>
        <v>12</v>
      </c>
    </row>
    <row r="89" ht="15.75" customHeight="1">
      <c r="A89" s="2"/>
      <c r="B89" s="36"/>
      <c r="C89" s="37"/>
      <c r="D89" s="38" t="s">
        <v>244</v>
      </c>
      <c r="E89" s="37" t="s">
        <v>64</v>
      </c>
      <c r="F89" s="37" t="s">
        <v>132</v>
      </c>
      <c r="G89" s="37">
        <v>6.0</v>
      </c>
      <c r="H89" s="39"/>
      <c r="I89" s="39">
        <f t="shared" si="133"/>
        <v>6</v>
      </c>
      <c r="J89" s="40"/>
      <c r="K89" s="39"/>
      <c r="L89" s="39">
        <f t="shared" si="134"/>
        <v>6</v>
      </c>
      <c r="M89" s="40"/>
      <c r="N89" s="39"/>
      <c r="O89" s="39">
        <f t="shared" si="135"/>
        <v>6</v>
      </c>
      <c r="P89" s="40"/>
      <c r="Q89" s="39"/>
      <c r="R89" s="39">
        <f t="shared" si="136"/>
        <v>6</v>
      </c>
      <c r="S89" s="40"/>
      <c r="T89" s="39"/>
      <c r="U89" s="39">
        <f t="shared" si="137"/>
        <v>6</v>
      </c>
      <c r="V89" s="40"/>
      <c r="W89" s="39"/>
      <c r="X89" s="39">
        <f t="shared" si="138"/>
        <v>6</v>
      </c>
      <c r="Y89" s="40"/>
      <c r="Z89" s="39"/>
      <c r="AA89" s="39">
        <f t="shared" si="139"/>
        <v>6</v>
      </c>
      <c r="AB89" s="40"/>
      <c r="AC89" s="39"/>
      <c r="AD89" s="39">
        <f t="shared" si="140"/>
        <v>6</v>
      </c>
      <c r="AE89" s="40"/>
      <c r="AF89" s="39"/>
      <c r="AG89" s="39">
        <f t="shared" si="141"/>
        <v>6</v>
      </c>
      <c r="AH89" s="40"/>
      <c r="AI89" s="39"/>
      <c r="AJ89" s="39">
        <f t="shared" si="142"/>
        <v>6</v>
      </c>
      <c r="AK89" s="40"/>
      <c r="AL89" s="39"/>
      <c r="AM89" s="39">
        <f t="shared" si="143"/>
        <v>6</v>
      </c>
      <c r="AN89" s="40"/>
      <c r="AO89" s="39"/>
      <c r="AP89" s="39">
        <f t="shared" si="144"/>
        <v>6</v>
      </c>
      <c r="AQ89" s="40"/>
      <c r="AR89" s="39"/>
      <c r="AS89" s="39">
        <f t="shared" si="145"/>
        <v>6</v>
      </c>
      <c r="AT89" s="40"/>
      <c r="AU89" s="39"/>
      <c r="AV89" s="39">
        <f t="shared" si="146"/>
        <v>6</v>
      </c>
      <c r="AW89" s="40"/>
      <c r="AX89" s="39"/>
      <c r="AY89" s="39">
        <f t="shared" si="147"/>
        <v>6</v>
      </c>
      <c r="AZ89" s="40"/>
      <c r="BA89" s="39"/>
      <c r="BB89" s="39">
        <f t="shared" si="148"/>
        <v>6</v>
      </c>
      <c r="BC89" s="40"/>
      <c r="BD89" s="39"/>
      <c r="BE89" s="39">
        <f t="shared" si="149"/>
        <v>6</v>
      </c>
      <c r="BF89" s="40"/>
      <c r="BG89" s="39"/>
      <c r="BH89" s="39">
        <f t="shared" si="150"/>
        <v>6</v>
      </c>
      <c r="BI89" s="40"/>
      <c r="BJ89" s="39"/>
      <c r="BK89" s="39">
        <f t="shared" si="151"/>
        <v>6</v>
      </c>
      <c r="BL89" s="40"/>
      <c r="BM89" s="39"/>
      <c r="BN89" s="39">
        <f t="shared" si="152"/>
        <v>6</v>
      </c>
      <c r="BO89" s="40"/>
      <c r="BP89" s="41">
        <f t="shared" si="153"/>
        <v>0</v>
      </c>
      <c r="BQ89" s="41">
        <f t="shared" si="154"/>
        <v>6</v>
      </c>
    </row>
    <row r="90" ht="15.75" customHeight="1">
      <c r="A90" s="2"/>
      <c r="B90" s="19"/>
      <c r="C90" s="11"/>
      <c r="D90" s="20" t="s">
        <v>245</v>
      </c>
      <c r="E90" s="11" t="s">
        <v>64</v>
      </c>
      <c r="F90" s="11" t="s">
        <v>132</v>
      </c>
      <c r="G90" s="11">
        <v>6.0</v>
      </c>
      <c r="H90" s="22"/>
      <c r="I90" s="22">
        <f t="shared" si="133"/>
        <v>6</v>
      </c>
      <c r="J90" s="23"/>
      <c r="K90" s="22"/>
      <c r="L90" s="22">
        <f t="shared" si="134"/>
        <v>6</v>
      </c>
      <c r="M90" s="23"/>
      <c r="N90" s="22"/>
      <c r="O90" s="22">
        <f t="shared" si="135"/>
        <v>6</v>
      </c>
      <c r="P90" s="23"/>
      <c r="Q90" s="22"/>
      <c r="R90" s="22">
        <f t="shared" si="136"/>
        <v>6</v>
      </c>
      <c r="S90" s="23"/>
      <c r="T90" s="22"/>
      <c r="U90" s="22">
        <f t="shared" si="137"/>
        <v>6</v>
      </c>
      <c r="V90" s="23"/>
      <c r="W90" s="22"/>
      <c r="X90" s="22">
        <f t="shared" si="138"/>
        <v>6</v>
      </c>
      <c r="Y90" s="23"/>
      <c r="Z90" s="22"/>
      <c r="AA90" s="22">
        <f t="shared" si="139"/>
        <v>6</v>
      </c>
      <c r="AB90" s="23"/>
      <c r="AC90" s="22"/>
      <c r="AD90" s="22">
        <f t="shared" si="140"/>
        <v>6</v>
      </c>
      <c r="AE90" s="23"/>
      <c r="AF90" s="22"/>
      <c r="AG90" s="22">
        <f t="shared" si="141"/>
        <v>6</v>
      </c>
      <c r="AH90" s="23"/>
      <c r="AI90" s="22"/>
      <c r="AJ90" s="22">
        <f t="shared" si="142"/>
        <v>6</v>
      </c>
      <c r="AK90" s="23"/>
      <c r="AL90" s="22"/>
      <c r="AM90" s="22">
        <f t="shared" si="143"/>
        <v>6</v>
      </c>
      <c r="AN90" s="23"/>
      <c r="AO90" s="22"/>
      <c r="AP90" s="22">
        <f t="shared" si="144"/>
        <v>6</v>
      </c>
      <c r="AQ90" s="23"/>
      <c r="AR90" s="22"/>
      <c r="AS90" s="22">
        <f t="shared" si="145"/>
        <v>6</v>
      </c>
      <c r="AT90" s="23"/>
      <c r="AU90" s="22"/>
      <c r="AV90" s="22">
        <f t="shared" si="146"/>
        <v>6</v>
      </c>
      <c r="AW90" s="23"/>
      <c r="AX90" s="22"/>
      <c r="AY90" s="22">
        <f t="shared" si="147"/>
        <v>6</v>
      </c>
      <c r="AZ90" s="23"/>
      <c r="BA90" s="22"/>
      <c r="BB90" s="22">
        <f t="shared" si="148"/>
        <v>6</v>
      </c>
      <c r="BC90" s="23"/>
      <c r="BD90" s="22"/>
      <c r="BE90" s="22">
        <f t="shared" si="149"/>
        <v>6</v>
      </c>
      <c r="BF90" s="23"/>
      <c r="BG90" s="22"/>
      <c r="BH90" s="22">
        <f t="shared" si="150"/>
        <v>6</v>
      </c>
      <c r="BI90" s="23"/>
      <c r="BJ90" s="22"/>
      <c r="BK90" s="22">
        <f t="shared" si="151"/>
        <v>6</v>
      </c>
      <c r="BL90" s="23"/>
      <c r="BM90" s="22"/>
      <c r="BN90" s="22">
        <f t="shared" si="152"/>
        <v>6</v>
      </c>
      <c r="BO90" s="23"/>
      <c r="BP90" s="24">
        <f t="shared" si="153"/>
        <v>0</v>
      </c>
      <c r="BQ90" s="24">
        <f t="shared" si="154"/>
        <v>6</v>
      </c>
    </row>
    <row r="91" ht="15.75" customHeight="1">
      <c r="A91" s="2"/>
      <c r="B91" s="42"/>
      <c r="C91" s="42"/>
      <c r="D91" s="42"/>
      <c r="E91" s="42"/>
      <c r="F91" s="42"/>
      <c r="G91" s="42"/>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row>
    <row r="92" ht="15.75" customHeight="1">
      <c r="A92" s="2"/>
      <c r="B92" s="42"/>
      <c r="C92" s="42"/>
      <c r="D92" s="42"/>
      <c r="E92" s="42"/>
      <c r="F92" s="42"/>
      <c r="G92" s="42"/>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row>
    <row r="93" ht="15.75" customHeight="1">
      <c r="A93" s="2"/>
      <c r="B93" s="42"/>
      <c r="C93" s="42"/>
      <c r="D93" s="42"/>
      <c r="E93" s="42"/>
      <c r="F93" s="42"/>
      <c r="G93" s="42"/>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row>
    <row r="94" ht="15.75" customHeight="1">
      <c r="A94" s="2"/>
      <c r="B94" s="42"/>
      <c r="C94" s="42"/>
      <c r="D94" s="42"/>
      <c r="E94" s="42"/>
      <c r="F94" s="42"/>
      <c r="G94" s="42"/>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row>
    <row r="95" ht="15.75" customHeight="1">
      <c r="A95" s="2"/>
      <c r="B95" s="42"/>
      <c r="C95" s="42"/>
      <c r="D95" s="42"/>
      <c r="E95" s="42"/>
      <c r="F95" s="42"/>
      <c r="G95" s="42"/>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row>
    <row r="96" ht="15.75" customHeight="1">
      <c r="A96" s="2"/>
      <c r="B96" s="42"/>
      <c r="C96" s="42"/>
      <c r="D96" s="42"/>
      <c r="E96" s="42"/>
      <c r="F96" s="42"/>
      <c r="G96" s="42"/>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c r="BN96" s="43"/>
      <c r="BO96" s="43"/>
      <c r="BP96" s="43"/>
      <c r="BQ96" s="43"/>
    </row>
    <row r="97" ht="15.75" customHeight="1">
      <c r="A97" s="2"/>
      <c r="B97" s="42"/>
      <c r="C97" s="42"/>
      <c r="D97" s="42"/>
      <c r="E97" s="42"/>
      <c r="F97" s="42"/>
      <c r="G97" s="42"/>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c r="BN97" s="43"/>
      <c r="BO97" s="43"/>
      <c r="BP97" s="43"/>
      <c r="BQ97" s="43"/>
    </row>
    <row r="98" ht="15.75" customHeight="1">
      <c r="A98" s="2"/>
      <c r="B98" s="42"/>
      <c r="C98" s="42"/>
      <c r="D98" s="42"/>
      <c r="E98" s="42"/>
      <c r="F98" s="42"/>
      <c r="G98" s="42"/>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c r="BN98" s="43"/>
      <c r="BO98" s="43"/>
      <c r="BP98" s="43"/>
      <c r="BQ98" s="43"/>
    </row>
    <row r="99" ht="15.75" customHeight="1">
      <c r="A99" s="2"/>
      <c r="B99" s="42"/>
      <c r="C99" s="42"/>
      <c r="D99" s="42"/>
      <c r="E99" s="42"/>
      <c r="F99" s="42"/>
      <c r="G99" s="42"/>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43"/>
      <c r="BP99" s="43"/>
      <c r="BQ99" s="43"/>
    </row>
    <row r="100" ht="15.75" customHeight="1">
      <c r="A100" s="2"/>
      <c r="B100" s="42"/>
      <c r="C100" s="42"/>
      <c r="D100" s="42"/>
      <c r="E100" s="42"/>
      <c r="F100" s="42"/>
      <c r="G100" s="42"/>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3"/>
      <c r="BK100" s="43"/>
      <c r="BL100" s="43"/>
      <c r="BM100" s="43"/>
      <c r="BN100" s="43"/>
      <c r="BO100" s="43"/>
      <c r="BP100" s="43"/>
      <c r="BQ100" s="43"/>
    </row>
    <row r="101" ht="15.75" customHeight="1">
      <c r="A101" s="2"/>
      <c r="B101" s="42"/>
      <c r="C101" s="42"/>
      <c r="D101" s="42"/>
      <c r="E101" s="42"/>
      <c r="F101" s="42"/>
      <c r="G101" s="42"/>
      <c r="H101" s="43"/>
      <c r="I101" s="43"/>
      <c r="J101" s="43"/>
      <c r="K101" s="43"/>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c r="BF101" s="43"/>
      <c r="BG101" s="43"/>
      <c r="BH101" s="43"/>
      <c r="BI101" s="43"/>
      <c r="BJ101" s="43"/>
      <c r="BK101" s="43"/>
      <c r="BL101" s="43"/>
      <c r="BM101" s="43"/>
      <c r="BN101" s="43"/>
      <c r="BO101" s="43"/>
      <c r="BP101" s="43"/>
      <c r="BQ101" s="43"/>
    </row>
    <row r="102" ht="15.75" customHeight="1">
      <c r="A102" s="2"/>
      <c r="B102" s="42"/>
      <c r="C102" s="42"/>
      <c r="D102" s="42"/>
      <c r="E102" s="42"/>
      <c r="F102" s="42"/>
      <c r="G102" s="42"/>
      <c r="H102" s="43"/>
      <c r="I102" s="43"/>
      <c r="J102" s="43"/>
      <c r="K102" s="43"/>
      <c r="L102" s="43"/>
      <c r="M102" s="43"/>
      <c r="N102" s="43"/>
      <c r="O102" s="43"/>
      <c r="P102" s="43"/>
      <c r="Q102" s="43"/>
      <c r="R102" s="43"/>
      <c r="S102" s="43"/>
      <c r="T102" s="43"/>
      <c r="U102" s="43"/>
      <c r="V102" s="43"/>
      <c r="W102" s="43"/>
      <c r="X102" s="43"/>
      <c r="Y102" s="43"/>
      <c r="Z102" s="43"/>
      <c r="AA102" s="43"/>
      <c r="AB102" s="43"/>
      <c r="AC102" s="43"/>
      <c r="AD102" s="43"/>
      <c r="AE102" s="43"/>
      <c r="AF102" s="43"/>
      <c r="AG102" s="43"/>
      <c r="AH102" s="43"/>
      <c r="AI102" s="43"/>
      <c r="AJ102" s="43"/>
      <c r="AK102" s="43"/>
      <c r="AL102" s="43"/>
      <c r="AM102" s="43"/>
      <c r="AN102" s="43"/>
      <c r="AO102" s="43"/>
      <c r="AP102" s="43"/>
      <c r="AQ102" s="43"/>
      <c r="AR102" s="43"/>
      <c r="AS102" s="43"/>
      <c r="AT102" s="43"/>
      <c r="AU102" s="43"/>
      <c r="AV102" s="43"/>
      <c r="AW102" s="43"/>
      <c r="AX102" s="43"/>
      <c r="AY102" s="43"/>
      <c r="AZ102" s="43"/>
      <c r="BA102" s="43"/>
      <c r="BB102" s="43"/>
      <c r="BC102" s="43"/>
      <c r="BD102" s="43"/>
      <c r="BE102" s="43"/>
      <c r="BF102" s="43"/>
      <c r="BG102" s="43"/>
      <c r="BH102" s="43"/>
      <c r="BI102" s="43"/>
      <c r="BJ102" s="43"/>
      <c r="BK102" s="43"/>
      <c r="BL102" s="43"/>
      <c r="BM102" s="43"/>
      <c r="BN102" s="43"/>
      <c r="BO102" s="43"/>
      <c r="BP102" s="43"/>
      <c r="BQ102" s="43"/>
    </row>
    <row r="103" ht="15.75" customHeight="1">
      <c r="A103" s="2"/>
      <c r="B103" s="42"/>
      <c r="C103" s="42"/>
      <c r="D103" s="42"/>
      <c r="E103" s="42"/>
      <c r="F103" s="42"/>
      <c r="G103" s="42"/>
      <c r="H103" s="43"/>
      <c r="I103" s="43"/>
      <c r="J103" s="43"/>
      <c r="K103" s="43"/>
      <c r="L103" s="43"/>
      <c r="M103" s="43"/>
      <c r="N103" s="43"/>
      <c r="O103" s="43"/>
      <c r="P103" s="43"/>
      <c r="Q103" s="43"/>
      <c r="R103" s="43"/>
      <c r="S103" s="43"/>
      <c r="T103" s="43"/>
      <c r="U103" s="43"/>
      <c r="V103" s="43"/>
      <c r="W103" s="43"/>
      <c r="X103" s="43"/>
      <c r="Y103" s="43"/>
      <c r="Z103" s="43"/>
      <c r="AA103" s="43"/>
      <c r="AB103" s="43"/>
      <c r="AC103" s="43"/>
      <c r="AD103" s="43"/>
      <c r="AE103" s="43"/>
      <c r="AF103" s="43"/>
      <c r="AG103" s="43"/>
      <c r="AH103" s="43"/>
      <c r="AI103" s="43"/>
      <c r="AJ103" s="43"/>
      <c r="AK103" s="43"/>
      <c r="AL103" s="43"/>
      <c r="AM103" s="43"/>
      <c r="AN103" s="43"/>
      <c r="AO103" s="43"/>
      <c r="AP103" s="43"/>
      <c r="AQ103" s="43"/>
      <c r="AR103" s="43"/>
      <c r="AS103" s="43"/>
      <c r="AT103" s="43"/>
      <c r="AU103" s="43"/>
      <c r="AV103" s="43"/>
      <c r="AW103" s="43"/>
      <c r="AX103" s="43"/>
      <c r="AY103" s="43"/>
      <c r="AZ103" s="43"/>
      <c r="BA103" s="43"/>
      <c r="BB103" s="43"/>
      <c r="BC103" s="43"/>
      <c r="BD103" s="43"/>
      <c r="BE103" s="43"/>
      <c r="BF103" s="43"/>
      <c r="BG103" s="43"/>
      <c r="BH103" s="43"/>
      <c r="BI103" s="43"/>
      <c r="BJ103" s="43"/>
      <c r="BK103" s="43"/>
      <c r="BL103" s="43"/>
      <c r="BM103" s="43"/>
      <c r="BN103" s="43"/>
      <c r="BO103" s="43"/>
      <c r="BP103" s="43"/>
      <c r="BQ103" s="43"/>
    </row>
    <row r="104" ht="15.75" customHeight="1">
      <c r="A104" s="2"/>
      <c r="B104" s="42"/>
      <c r="C104" s="42"/>
      <c r="D104" s="42"/>
      <c r="E104" s="42"/>
      <c r="F104" s="42"/>
      <c r="G104" s="42"/>
      <c r="H104" s="43"/>
      <c r="I104" s="43"/>
      <c r="J104" s="43"/>
      <c r="K104" s="43"/>
      <c r="L104" s="43"/>
      <c r="M104" s="43"/>
      <c r="N104" s="43"/>
      <c r="O104" s="43"/>
      <c r="P104" s="43"/>
      <c r="Q104" s="43"/>
      <c r="R104" s="43"/>
      <c r="S104" s="43"/>
      <c r="T104" s="43"/>
      <c r="U104" s="43"/>
      <c r="V104" s="43"/>
      <c r="W104" s="43"/>
      <c r="X104" s="43"/>
      <c r="Y104" s="43"/>
      <c r="Z104" s="43"/>
      <c r="AA104" s="43"/>
      <c r="AB104" s="43"/>
      <c r="AC104" s="43"/>
      <c r="AD104" s="43"/>
      <c r="AE104" s="43"/>
      <c r="AF104" s="43"/>
      <c r="AG104" s="43"/>
      <c r="AH104" s="43"/>
      <c r="AI104" s="43"/>
      <c r="AJ104" s="43"/>
      <c r="AK104" s="43"/>
      <c r="AL104" s="43"/>
      <c r="AM104" s="43"/>
      <c r="AN104" s="43"/>
      <c r="AO104" s="43"/>
      <c r="AP104" s="43"/>
      <c r="AQ104" s="43"/>
      <c r="AR104" s="43"/>
      <c r="AS104" s="43"/>
      <c r="AT104" s="43"/>
      <c r="AU104" s="43"/>
      <c r="AV104" s="43"/>
      <c r="AW104" s="43"/>
      <c r="AX104" s="43"/>
      <c r="AY104" s="43"/>
      <c r="AZ104" s="43"/>
      <c r="BA104" s="43"/>
      <c r="BB104" s="43"/>
      <c r="BC104" s="43"/>
      <c r="BD104" s="43"/>
      <c r="BE104" s="43"/>
      <c r="BF104" s="43"/>
      <c r="BG104" s="43"/>
      <c r="BH104" s="43"/>
      <c r="BI104" s="43"/>
      <c r="BJ104" s="43"/>
      <c r="BK104" s="43"/>
      <c r="BL104" s="43"/>
      <c r="BM104" s="43"/>
      <c r="BN104" s="43"/>
      <c r="BO104" s="43"/>
      <c r="BP104" s="43"/>
      <c r="BQ104" s="43"/>
    </row>
    <row r="105" ht="15.75" customHeight="1">
      <c r="A105" s="2"/>
      <c r="B105" s="42"/>
      <c r="C105" s="42"/>
      <c r="D105" s="42"/>
      <c r="E105" s="42"/>
      <c r="F105" s="42"/>
      <c r="G105" s="42"/>
      <c r="H105" s="43"/>
      <c r="I105" s="43"/>
      <c r="J105" s="43"/>
      <c r="K105" s="43"/>
      <c r="L105" s="43"/>
      <c r="M105" s="43"/>
      <c r="N105" s="43"/>
      <c r="O105" s="43"/>
      <c r="P105" s="43"/>
      <c r="Q105" s="43"/>
      <c r="R105" s="43"/>
      <c r="S105" s="43"/>
      <c r="T105" s="43"/>
      <c r="U105" s="43"/>
      <c r="V105" s="43"/>
      <c r="W105" s="43"/>
      <c r="X105" s="43"/>
      <c r="Y105" s="43"/>
      <c r="Z105" s="43"/>
      <c r="AA105" s="43"/>
      <c r="AB105" s="43"/>
      <c r="AC105" s="43"/>
      <c r="AD105" s="43"/>
      <c r="AE105" s="43"/>
      <c r="AF105" s="43"/>
      <c r="AG105" s="43"/>
      <c r="AH105" s="43"/>
      <c r="AI105" s="43"/>
      <c r="AJ105" s="43"/>
      <c r="AK105" s="43"/>
      <c r="AL105" s="43"/>
      <c r="AM105" s="43"/>
      <c r="AN105" s="43"/>
      <c r="AO105" s="43"/>
      <c r="AP105" s="43"/>
      <c r="AQ105" s="43"/>
      <c r="AR105" s="43"/>
      <c r="AS105" s="43"/>
      <c r="AT105" s="43"/>
      <c r="AU105" s="43"/>
      <c r="AV105" s="43"/>
      <c r="AW105" s="43"/>
      <c r="AX105" s="43"/>
      <c r="AY105" s="43"/>
      <c r="AZ105" s="43"/>
      <c r="BA105" s="43"/>
      <c r="BB105" s="43"/>
      <c r="BC105" s="43"/>
      <c r="BD105" s="43"/>
      <c r="BE105" s="43"/>
      <c r="BF105" s="43"/>
      <c r="BG105" s="43"/>
      <c r="BH105" s="43"/>
      <c r="BI105" s="43"/>
      <c r="BJ105" s="43"/>
      <c r="BK105" s="43"/>
      <c r="BL105" s="43"/>
      <c r="BM105" s="43"/>
      <c r="BN105" s="43"/>
      <c r="BO105" s="43"/>
      <c r="BP105" s="43"/>
      <c r="BQ105" s="43"/>
    </row>
    <row r="106" ht="15.75" customHeight="1">
      <c r="A106" s="2"/>
      <c r="B106" s="42"/>
      <c r="C106" s="42"/>
      <c r="D106" s="42"/>
      <c r="E106" s="42"/>
      <c r="F106" s="42"/>
      <c r="G106" s="42"/>
      <c r="H106" s="43"/>
      <c r="I106" s="43"/>
      <c r="J106" s="43"/>
      <c r="K106" s="43"/>
      <c r="L106" s="43"/>
      <c r="M106" s="43"/>
      <c r="N106" s="43"/>
      <c r="O106" s="43"/>
      <c r="P106" s="43"/>
      <c r="Q106" s="43"/>
      <c r="R106" s="43"/>
      <c r="S106" s="43"/>
      <c r="T106" s="43"/>
      <c r="U106" s="43"/>
      <c r="V106" s="43"/>
      <c r="W106" s="43"/>
      <c r="X106" s="43"/>
      <c r="Y106" s="43"/>
      <c r="Z106" s="43"/>
      <c r="AA106" s="43"/>
      <c r="AB106" s="43"/>
      <c r="AC106" s="43"/>
      <c r="AD106" s="43"/>
      <c r="AE106" s="43"/>
      <c r="AF106" s="43"/>
      <c r="AG106" s="43"/>
      <c r="AH106" s="43"/>
      <c r="AI106" s="43"/>
      <c r="AJ106" s="43"/>
      <c r="AK106" s="43"/>
      <c r="AL106" s="43"/>
      <c r="AM106" s="43"/>
      <c r="AN106" s="43"/>
      <c r="AO106" s="43"/>
      <c r="AP106" s="43"/>
      <c r="AQ106" s="43"/>
      <c r="AR106" s="43"/>
      <c r="AS106" s="43"/>
      <c r="AT106" s="43"/>
      <c r="AU106" s="43"/>
      <c r="AV106" s="43"/>
      <c r="AW106" s="43"/>
      <c r="AX106" s="43"/>
      <c r="AY106" s="43"/>
      <c r="AZ106" s="43"/>
      <c r="BA106" s="43"/>
      <c r="BB106" s="43"/>
      <c r="BC106" s="43"/>
      <c r="BD106" s="43"/>
      <c r="BE106" s="43"/>
      <c r="BF106" s="43"/>
      <c r="BG106" s="43"/>
      <c r="BH106" s="43"/>
      <c r="BI106" s="43"/>
      <c r="BJ106" s="43"/>
      <c r="BK106" s="43"/>
      <c r="BL106" s="43"/>
      <c r="BM106" s="43"/>
      <c r="BN106" s="43"/>
      <c r="BO106" s="43"/>
      <c r="BP106" s="43"/>
      <c r="BQ106" s="43"/>
    </row>
    <row r="107" ht="15.75" customHeight="1">
      <c r="A107" s="2"/>
      <c r="B107" s="42"/>
      <c r="C107" s="42"/>
      <c r="D107" s="42"/>
      <c r="E107" s="42"/>
      <c r="F107" s="42"/>
      <c r="G107" s="42"/>
      <c r="H107" s="43"/>
      <c r="I107" s="43"/>
      <c r="J107" s="43"/>
      <c r="K107" s="43"/>
      <c r="L107" s="43"/>
      <c r="M107" s="43"/>
      <c r="N107" s="43"/>
      <c r="O107" s="43"/>
      <c r="P107" s="43"/>
      <c r="Q107" s="43"/>
      <c r="R107" s="43"/>
      <c r="S107" s="43"/>
      <c r="T107" s="43"/>
      <c r="U107" s="43"/>
      <c r="V107" s="43"/>
      <c r="W107" s="43"/>
      <c r="X107" s="43"/>
      <c r="Y107" s="43"/>
      <c r="Z107" s="43"/>
      <c r="AA107" s="43"/>
      <c r="AB107" s="43"/>
      <c r="AC107" s="43"/>
      <c r="AD107" s="43"/>
      <c r="AE107" s="43"/>
      <c r="AF107" s="43"/>
      <c r="AG107" s="43"/>
      <c r="AH107" s="43"/>
      <c r="AI107" s="43"/>
      <c r="AJ107" s="43"/>
      <c r="AK107" s="43"/>
      <c r="AL107" s="43"/>
      <c r="AM107" s="43"/>
      <c r="AN107" s="43"/>
      <c r="AO107" s="43"/>
      <c r="AP107" s="43"/>
      <c r="AQ107" s="43"/>
      <c r="AR107" s="43"/>
      <c r="AS107" s="43"/>
      <c r="AT107" s="43"/>
      <c r="AU107" s="43"/>
      <c r="AV107" s="43"/>
      <c r="AW107" s="43"/>
      <c r="AX107" s="43"/>
      <c r="AY107" s="43"/>
      <c r="AZ107" s="43"/>
      <c r="BA107" s="43"/>
      <c r="BB107" s="43"/>
      <c r="BC107" s="43"/>
      <c r="BD107" s="43"/>
      <c r="BE107" s="43"/>
      <c r="BF107" s="43"/>
      <c r="BG107" s="43"/>
      <c r="BH107" s="43"/>
      <c r="BI107" s="43"/>
      <c r="BJ107" s="43"/>
      <c r="BK107" s="43"/>
      <c r="BL107" s="43"/>
      <c r="BM107" s="43"/>
      <c r="BN107" s="43"/>
      <c r="BO107" s="43"/>
      <c r="BP107" s="43"/>
      <c r="BQ107" s="43"/>
    </row>
    <row r="108" ht="15.75" customHeight="1">
      <c r="A108" s="2"/>
      <c r="B108" s="42"/>
      <c r="C108" s="42"/>
      <c r="D108" s="42"/>
      <c r="E108" s="42"/>
      <c r="F108" s="42"/>
      <c r="G108" s="42"/>
      <c r="H108" s="43"/>
      <c r="I108" s="43"/>
      <c r="J108" s="43"/>
      <c r="K108" s="43"/>
      <c r="L108" s="43"/>
      <c r="M108" s="43"/>
      <c r="N108" s="43"/>
      <c r="O108" s="43"/>
      <c r="P108" s="43"/>
      <c r="Q108" s="43"/>
      <c r="R108" s="43"/>
      <c r="S108" s="43"/>
      <c r="T108" s="43"/>
      <c r="U108" s="43"/>
      <c r="V108" s="43"/>
      <c r="W108" s="43"/>
      <c r="X108" s="43"/>
      <c r="Y108" s="43"/>
      <c r="Z108" s="43"/>
      <c r="AA108" s="43"/>
      <c r="AB108" s="43"/>
      <c r="AC108" s="43"/>
      <c r="AD108" s="43"/>
      <c r="AE108" s="43"/>
      <c r="AF108" s="43"/>
      <c r="AG108" s="43"/>
      <c r="AH108" s="43"/>
      <c r="AI108" s="43"/>
      <c r="AJ108" s="43"/>
      <c r="AK108" s="43"/>
      <c r="AL108" s="43"/>
      <c r="AM108" s="43"/>
      <c r="AN108" s="43"/>
      <c r="AO108" s="43"/>
      <c r="AP108" s="43"/>
      <c r="AQ108" s="43"/>
      <c r="AR108" s="43"/>
      <c r="AS108" s="43"/>
      <c r="AT108" s="43"/>
      <c r="AU108" s="43"/>
      <c r="AV108" s="43"/>
      <c r="AW108" s="43"/>
      <c r="AX108" s="43"/>
      <c r="AY108" s="43"/>
      <c r="AZ108" s="43"/>
      <c r="BA108" s="43"/>
      <c r="BB108" s="43"/>
      <c r="BC108" s="43"/>
      <c r="BD108" s="43"/>
      <c r="BE108" s="43"/>
      <c r="BF108" s="43"/>
      <c r="BG108" s="43"/>
      <c r="BH108" s="43"/>
      <c r="BI108" s="43"/>
      <c r="BJ108" s="43"/>
      <c r="BK108" s="43"/>
      <c r="BL108" s="43"/>
      <c r="BM108" s="43"/>
      <c r="BN108" s="43"/>
      <c r="BO108" s="43"/>
      <c r="BP108" s="43"/>
      <c r="BQ108" s="43"/>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row>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7916666666667" footer="0.0" header="0.0" left="0.629861111111111" right="0.629861111111111" top="0.747916666666667"/>
  <pageSetup orientation="landscape"/>
  <colBreaks count="4" manualBreakCount="4">
    <brk id="52" man="1"/>
    <brk id="36" man="1"/>
    <brk id="69"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3" width="10.71"/>
  </cols>
  <sheetData>
    <row r="1" ht="26.25" customHeight="1">
      <c r="A1" s="2"/>
      <c r="B1" s="4" t="s">
        <v>1</v>
      </c>
      <c r="C1" s="2"/>
      <c r="D1" s="2"/>
      <c r="E1" s="2"/>
      <c r="F1" s="2"/>
      <c r="G1" s="2"/>
      <c r="H1" s="2"/>
      <c r="I1" s="2"/>
      <c r="J1" s="2"/>
      <c r="K1" s="2"/>
      <c r="L1" s="2"/>
      <c r="M1" s="2"/>
      <c r="N1" s="2"/>
      <c r="O1" s="2"/>
      <c r="P1" s="2"/>
      <c r="Q1" s="2"/>
      <c r="R1" s="2"/>
      <c r="S1" s="2"/>
      <c r="T1" s="2"/>
      <c r="U1" s="2"/>
      <c r="V1" s="2"/>
      <c r="W1" s="2"/>
      <c r="X1" s="2"/>
      <c r="Y1" s="2"/>
      <c r="Z1" s="2"/>
    </row>
    <row r="2" ht="19.5" customHeight="1">
      <c r="A2" s="2"/>
      <c r="B2" s="7" t="s">
        <v>5</v>
      </c>
      <c r="C2" s="2"/>
      <c r="D2" s="2"/>
      <c r="E2" s="2"/>
      <c r="F2" s="2"/>
      <c r="G2" s="2"/>
      <c r="H2" s="2"/>
      <c r="I2" s="2"/>
      <c r="J2" s="2"/>
      <c r="K2" s="2"/>
      <c r="L2" s="2"/>
      <c r="M2" s="2"/>
      <c r="N2" s="2"/>
      <c r="O2" s="2"/>
      <c r="P2" s="2"/>
      <c r="Q2" s="2"/>
      <c r="R2" s="2"/>
      <c r="S2" s="2"/>
      <c r="T2" s="2"/>
      <c r="U2" s="2"/>
      <c r="V2" s="2"/>
      <c r="W2" s="2"/>
      <c r="X2" s="2"/>
      <c r="Y2" s="2"/>
      <c r="Z2" s="2"/>
    </row>
    <row r="3" ht="15.0" customHeight="1">
      <c r="A3" s="2"/>
      <c r="B3" s="2"/>
      <c r="C3" s="2"/>
      <c r="D3" s="2"/>
      <c r="E3" s="2"/>
      <c r="F3" s="2"/>
      <c r="G3" s="2"/>
      <c r="H3" s="2"/>
      <c r="I3" s="2"/>
      <c r="J3" s="2"/>
      <c r="K3" s="2"/>
      <c r="L3" s="2"/>
      <c r="M3" s="2"/>
      <c r="N3" s="2"/>
      <c r="O3" s="2"/>
      <c r="P3" s="2"/>
      <c r="Q3" s="2"/>
      <c r="R3" s="2"/>
      <c r="S3" s="2"/>
      <c r="T3" s="2"/>
      <c r="U3" s="2"/>
      <c r="V3" s="2"/>
      <c r="W3" s="2"/>
      <c r="X3" s="2"/>
      <c r="Y3" s="2"/>
      <c r="Z3" s="2"/>
    </row>
    <row r="4" ht="15.0" customHeight="1">
      <c r="A4" s="2"/>
      <c r="B4" s="10" t="s">
        <v>9</v>
      </c>
      <c r="C4" s="10" t="s">
        <v>10</v>
      </c>
      <c r="D4" s="2"/>
      <c r="E4" s="2"/>
      <c r="F4" s="2"/>
      <c r="G4" s="2"/>
      <c r="H4" s="2"/>
      <c r="I4" s="2"/>
      <c r="J4" s="2"/>
      <c r="K4" s="2"/>
      <c r="L4" s="2"/>
      <c r="M4" s="2"/>
      <c r="N4" s="2"/>
      <c r="O4" s="2"/>
      <c r="P4" s="2"/>
      <c r="Q4" s="2"/>
      <c r="R4" s="2"/>
      <c r="S4" s="2"/>
      <c r="T4" s="2"/>
      <c r="U4" s="2"/>
      <c r="V4" s="2"/>
      <c r="W4" s="2"/>
      <c r="X4" s="2"/>
      <c r="Y4" s="2"/>
      <c r="Z4" s="2"/>
    </row>
    <row r="5" ht="27.75" customHeight="1">
      <c r="A5" s="2"/>
      <c r="B5" s="11" t="str">
        <f>'Historias de Usuario'!B5</f>
        <v>Identificador (ID) de item de product backlog</v>
      </c>
      <c r="C5" s="11" t="s">
        <v>14</v>
      </c>
      <c r="D5" s="2"/>
      <c r="E5" s="2"/>
      <c r="F5" s="2"/>
      <c r="G5" s="2"/>
      <c r="H5" s="2"/>
      <c r="I5" s="2"/>
      <c r="J5" s="2"/>
      <c r="K5" s="2"/>
      <c r="L5" s="2"/>
      <c r="M5" s="2"/>
      <c r="N5" s="2"/>
      <c r="O5" s="2"/>
      <c r="P5" s="2"/>
      <c r="Q5" s="2"/>
      <c r="R5" s="2"/>
      <c r="S5" s="2"/>
      <c r="T5" s="2"/>
      <c r="U5" s="2"/>
      <c r="V5" s="2"/>
      <c r="W5" s="2"/>
      <c r="X5" s="2"/>
      <c r="Y5" s="2"/>
      <c r="Z5" s="2"/>
    </row>
    <row r="6" ht="27.75" customHeight="1">
      <c r="A6" s="2"/>
      <c r="B6" s="11" t="str">
        <f>'Historias de Usuario'!C5</f>
        <v>Enunciado del item de Product Backlog</v>
      </c>
      <c r="C6" s="11" t="s">
        <v>16</v>
      </c>
      <c r="D6" s="2"/>
      <c r="E6" s="2"/>
      <c r="F6" s="2"/>
      <c r="G6" s="2"/>
      <c r="H6" s="2"/>
      <c r="I6" s="2"/>
      <c r="J6" s="2"/>
      <c r="K6" s="2"/>
      <c r="L6" s="2"/>
      <c r="M6" s="2"/>
      <c r="N6" s="2"/>
      <c r="O6" s="2"/>
      <c r="P6" s="2"/>
      <c r="Q6" s="2"/>
      <c r="R6" s="2"/>
      <c r="S6" s="2"/>
      <c r="T6" s="2"/>
      <c r="U6" s="2"/>
      <c r="V6" s="2"/>
      <c r="W6" s="2"/>
      <c r="X6" s="2"/>
      <c r="Y6" s="2"/>
      <c r="Z6" s="2"/>
    </row>
    <row r="7" ht="54.75" customHeight="1">
      <c r="A7" s="2"/>
      <c r="B7" s="11" t="s">
        <v>18</v>
      </c>
      <c r="C7" s="11" t="s">
        <v>19</v>
      </c>
      <c r="D7" s="2"/>
      <c r="E7" s="2"/>
      <c r="F7" s="2"/>
      <c r="G7" s="2"/>
      <c r="H7" s="2"/>
      <c r="I7" s="2"/>
      <c r="J7" s="2"/>
      <c r="K7" s="2"/>
      <c r="L7" s="2"/>
      <c r="M7" s="2"/>
      <c r="N7" s="2"/>
      <c r="O7" s="2"/>
      <c r="P7" s="2"/>
      <c r="Q7" s="2"/>
      <c r="R7" s="2"/>
      <c r="S7" s="2"/>
      <c r="T7" s="2"/>
      <c r="U7" s="2"/>
      <c r="V7" s="2"/>
      <c r="W7" s="2"/>
      <c r="X7" s="2"/>
      <c r="Y7" s="2"/>
      <c r="Z7" s="2"/>
    </row>
    <row r="8" ht="68.25" customHeight="1">
      <c r="A8" s="2"/>
      <c r="B8" s="11" t="s">
        <v>21</v>
      </c>
      <c r="C8" s="11" t="s">
        <v>22</v>
      </c>
      <c r="D8" s="2"/>
      <c r="E8" s="2"/>
      <c r="F8" s="2"/>
      <c r="G8" s="2"/>
      <c r="H8" s="2"/>
      <c r="I8" s="2"/>
      <c r="J8" s="2"/>
      <c r="K8" s="2"/>
      <c r="L8" s="2"/>
      <c r="M8" s="2"/>
      <c r="N8" s="2"/>
      <c r="O8" s="2"/>
      <c r="P8" s="2"/>
      <c r="Q8" s="2"/>
      <c r="R8" s="2"/>
      <c r="S8" s="2"/>
      <c r="T8" s="2"/>
      <c r="U8" s="2"/>
      <c r="V8" s="2"/>
      <c r="W8" s="2"/>
      <c r="X8" s="2"/>
      <c r="Y8" s="2"/>
      <c r="Z8" s="2"/>
    </row>
    <row r="9" ht="54.75" customHeight="1">
      <c r="A9" s="2"/>
      <c r="B9" s="11" t="s">
        <v>24</v>
      </c>
      <c r="C9" s="11" t="s">
        <v>25</v>
      </c>
      <c r="D9" s="2"/>
      <c r="E9" s="2"/>
      <c r="F9" s="2"/>
      <c r="G9" s="2"/>
      <c r="H9" s="2"/>
      <c r="I9" s="2"/>
      <c r="J9" s="2"/>
      <c r="K9" s="2"/>
      <c r="L9" s="2"/>
      <c r="M9" s="2"/>
      <c r="N9" s="2"/>
      <c r="O9" s="2"/>
      <c r="P9" s="2"/>
      <c r="Q9" s="2"/>
      <c r="R9" s="2"/>
      <c r="S9" s="2"/>
      <c r="T9" s="2"/>
      <c r="U9" s="2"/>
      <c r="V9" s="2"/>
      <c r="W9" s="2"/>
      <c r="X9" s="2"/>
      <c r="Y9" s="2"/>
      <c r="Z9" s="2"/>
    </row>
    <row r="10" ht="41.25" customHeight="1">
      <c r="A10" s="2"/>
      <c r="B10" s="11" t="s">
        <v>27</v>
      </c>
      <c r="C10" s="11" t="s">
        <v>28</v>
      </c>
      <c r="D10" s="2"/>
      <c r="E10" s="2"/>
      <c r="F10" s="2"/>
      <c r="G10" s="2"/>
      <c r="H10" s="2"/>
      <c r="I10" s="2"/>
      <c r="J10" s="2"/>
      <c r="K10" s="2"/>
      <c r="L10" s="2"/>
      <c r="M10" s="2"/>
      <c r="N10" s="2"/>
      <c r="O10" s="2"/>
      <c r="P10" s="2"/>
      <c r="Q10" s="2"/>
      <c r="R10" s="2"/>
      <c r="S10" s="2"/>
      <c r="T10" s="2"/>
      <c r="U10" s="2"/>
      <c r="V10" s="2"/>
      <c r="W10" s="2"/>
      <c r="X10" s="2"/>
      <c r="Y10" s="2"/>
      <c r="Z10" s="2"/>
    </row>
    <row r="11" ht="27.75" customHeight="1">
      <c r="A11" s="2"/>
      <c r="B11" s="11" t="s">
        <v>30</v>
      </c>
      <c r="C11" s="11" t="s">
        <v>32</v>
      </c>
      <c r="D11" s="2"/>
      <c r="E11" s="2"/>
      <c r="F11" s="2"/>
      <c r="G11" s="2"/>
      <c r="H11" s="2"/>
      <c r="I11" s="2"/>
      <c r="J11" s="2"/>
      <c r="K11" s="2"/>
      <c r="L11" s="2"/>
      <c r="M11" s="2"/>
      <c r="N11" s="2"/>
      <c r="O11" s="2"/>
      <c r="P11" s="2"/>
      <c r="Q11" s="2"/>
      <c r="R11" s="2"/>
      <c r="S11" s="2"/>
      <c r="T11" s="2"/>
      <c r="U11" s="2"/>
      <c r="V11" s="2"/>
      <c r="W11" s="2"/>
      <c r="X11" s="2"/>
      <c r="Y11" s="2"/>
      <c r="Z11" s="2"/>
    </row>
    <row r="12" ht="15.0" customHeight="1">
      <c r="A12" s="2"/>
      <c r="B12" s="11" t="s">
        <v>34</v>
      </c>
      <c r="C12" s="11" t="s">
        <v>35</v>
      </c>
      <c r="D12" s="2"/>
      <c r="E12" s="2"/>
      <c r="F12" s="2"/>
      <c r="G12" s="2"/>
      <c r="H12" s="2"/>
      <c r="I12" s="2"/>
      <c r="J12" s="2"/>
      <c r="K12" s="2"/>
      <c r="L12" s="2"/>
      <c r="M12" s="2"/>
      <c r="N12" s="2"/>
      <c r="O12" s="2"/>
      <c r="P12" s="2"/>
      <c r="Q12" s="2"/>
      <c r="R12" s="2"/>
      <c r="S12" s="2"/>
      <c r="T12" s="2"/>
      <c r="U12" s="2"/>
      <c r="V12" s="2"/>
      <c r="W12" s="2"/>
      <c r="X12" s="2"/>
      <c r="Y12" s="2"/>
      <c r="Z12" s="2"/>
    </row>
    <row r="13" ht="41.25" customHeight="1">
      <c r="A13" s="2"/>
      <c r="B13" s="11" t="s">
        <v>37</v>
      </c>
      <c r="C13" s="11" t="s">
        <v>38</v>
      </c>
      <c r="D13" s="2"/>
      <c r="E13" s="2"/>
      <c r="F13" s="2"/>
      <c r="G13" s="2"/>
      <c r="H13" s="2"/>
      <c r="I13" s="2"/>
      <c r="J13" s="2"/>
      <c r="K13" s="2"/>
      <c r="L13" s="2"/>
      <c r="M13" s="2"/>
      <c r="N13" s="2"/>
      <c r="O13" s="2"/>
      <c r="P13" s="2"/>
      <c r="Q13" s="2"/>
      <c r="R13" s="2"/>
      <c r="S13" s="2"/>
      <c r="T13" s="2"/>
      <c r="U13" s="2"/>
      <c r="V13" s="2"/>
      <c r="W13" s="2"/>
      <c r="X13" s="2"/>
      <c r="Y13" s="2"/>
      <c r="Z13" s="2"/>
    </row>
    <row r="14" ht="27.75" customHeight="1">
      <c r="A14" s="2"/>
      <c r="B14" s="11" t="s">
        <v>29</v>
      </c>
      <c r="C14" s="11" t="s">
        <v>39</v>
      </c>
      <c r="D14" s="2"/>
      <c r="E14" s="2"/>
      <c r="F14" s="2"/>
      <c r="G14" s="2"/>
      <c r="H14" s="2"/>
      <c r="I14" s="2"/>
      <c r="J14" s="2"/>
      <c r="K14" s="2"/>
      <c r="L14" s="2"/>
      <c r="M14" s="2"/>
      <c r="N14" s="2"/>
      <c r="O14" s="2"/>
      <c r="P14" s="2"/>
      <c r="Q14" s="2"/>
      <c r="R14" s="2"/>
      <c r="S14" s="2"/>
      <c r="T14" s="2"/>
      <c r="U14" s="2"/>
      <c r="V14" s="2"/>
      <c r="W14" s="2"/>
      <c r="X14" s="2"/>
      <c r="Y14" s="2"/>
      <c r="Z14" s="2"/>
    </row>
    <row r="15" ht="15.0"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0"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0"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0"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0"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0"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scale="6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2" width="34.0"/>
    <col customWidth="1" min="3" max="3" width="24.0"/>
    <col customWidth="1" min="4" max="6" width="8.71"/>
  </cols>
  <sheetData>
    <row r="1" ht="19.5" customHeight="1">
      <c r="A1" s="1" t="s">
        <v>0</v>
      </c>
      <c r="B1" s="3"/>
      <c r="C1" s="3"/>
    </row>
    <row r="2" ht="109.5" customHeight="1">
      <c r="A2" s="5" t="s">
        <v>2</v>
      </c>
    </row>
    <row r="3">
      <c r="A3" s="3"/>
      <c r="B3" s="3"/>
      <c r="C3" s="3"/>
    </row>
    <row r="4" ht="15.0" customHeight="1">
      <c r="A4" s="6" t="s">
        <v>4</v>
      </c>
      <c r="B4" s="6" t="s">
        <v>6</v>
      </c>
      <c r="C4" s="6" t="s">
        <v>7</v>
      </c>
    </row>
    <row r="5" ht="15.0" customHeight="1">
      <c r="A5" s="8">
        <v>1.0</v>
      </c>
      <c r="B5" s="9" t="s">
        <v>8</v>
      </c>
      <c r="C5" s="8">
        <f>SUM('Historias de Usuario'!G6:G8)</f>
        <v>28</v>
      </c>
    </row>
    <row r="6" ht="15.0" customHeight="1">
      <c r="A6" s="8">
        <v>2.0</v>
      </c>
      <c r="B6" s="9" t="s">
        <v>11</v>
      </c>
      <c r="C6" s="8">
        <f>SUM('Historias de Usuario'!G10:G13)</f>
        <v>30</v>
      </c>
    </row>
    <row r="7" ht="15.0" customHeight="1">
      <c r="A7" s="8">
        <v>3.0</v>
      </c>
      <c r="B7" s="9" t="s">
        <v>13</v>
      </c>
      <c r="C7" s="8">
        <f>SUM('Historias de Usuario'!G15:G29)</f>
        <v>34</v>
      </c>
    </row>
    <row r="8" ht="15.0" customHeight="1">
      <c r="A8" s="8">
        <v>4.0</v>
      </c>
      <c r="B8" s="9" t="s">
        <v>15</v>
      </c>
      <c r="C8" s="8">
        <f>SUM('Historias de Usuario'!G31:G40)</f>
        <v>50</v>
      </c>
    </row>
    <row r="9" ht="15.0" customHeight="1">
      <c r="A9" s="8">
        <v>5.0</v>
      </c>
      <c r="B9" s="9" t="s">
        <v>17</v>
      </c>
      <c r="C9" s="8">
        <f>SUM('Historias de Usuario'!G42:G74)</f>
        <v>54</v>
      </c>
    </row>
    <row r="10" ht="15.0" customHeight="1">
      <c r="A10" s="8">
        <v>6.0</v>
      </c>
      <c r="B10" s="9" t="s">
        <v>20</v>
      </c>
      <c r="C10" s="8">
        <f>SUM('Historias de Usuario'!G76:G82)</f>
        <v>88</v>
      </c>
    </row>
    <row r="11" ht="15.0" customHeight="1">
      <c r="A11" s="8">
        <v>7.0</v>
      </c>
      <c r="B11" s="9" t="s">
        <v>23</v>
      </c>
      <c r="C11" s="8">
        <f>SUM('Historias de Usuario'!G84:G86)</f>
        <v>16</v>
      </c>
    </row>
    <row r="12" ht="15.0" customHeight="1">
      <c r="A12" s="8">
        <v>8.0</v>
      </c>
      <c r="B12" s="9" t="s">
        <v>26</v>
      </c>
      <c r="C12" s="8">
        <f>SUM('Historias de Usuario'!G88:G90)</f>
        <v>24</v>
      </c>
    </row>
    <row r="13" ht="15.0" customHeight="1">
      <c r="A13" s="12" t="s">
        <v>29</v>
      </c>
      <c r="B13" s="9"/>
      <c r="C13" s="12">
        <f>SUM(C5:C12)</f>
        <v>324</v>
      </c>
    </row>
    <row r="14">
      <c r="A14" s="3"/>
      <c r="B14" s="3"/>
      <c r="C14" s="3"/>
    </row>
    <row r="15" ht="15.0" customHeight="1">
      <c r="A15" s="13" t="s">
        <v>33</v>
      </c>
    </row>
    <row r="16" ht="189.75" customHeight="1">
      <c r="A16" s="5" t="s">
        <v>36</v>
      </c>
    </row>
    <row r="17">
      <c r="A17" s="3"/>
      <c r="B17" s="3"/>
      <c r="C17" s="3"/>
    </row>
    <row r="18">
      <c r="A18" s="3"/>
      <c r="B18" s="3"/>
      <c r="C18" s="3"/>
    </row>
    <row r="19">
      <c r="A19" s="3"/>
      <c r="B19" s="3"/>
      <c r="C19" s="3"/>
    </row>
    <row r="20">
      <c r="A20" s="3"/>
      <c r="B20" s="3"/>
      <c r="C20" s="3"/>
    </row>
    <row r="21" ht="15.75" customHeight="1">
      <c r="A21" s="3"/>
      <c r="B21" s="3"/>
      <c r="C21" s="3"/>
    </row>
    <row r="22" ht="15.75" customHeight="1">
      <c r="A22" s="3"/>
      <c r="B22" s="3"/>
      <c r="C22" s="3"/>
    </row>
    <row r="23" ht="15.75" customHeight="1">
      <c r="A23" s="3"/>
      <c r="B23" s="3"/>
      <c r="C23" s="3"/>
    </row>
    <row r="24" ht="15.75" customHeight="1">
      <c r="A24" s="3"/>
      <c r="B24" s="3"/>
      <c r="C24" s="3"/>
    </row>
    <row r="25" ht="15.75" customHeight="1">
      <c r="A25" s="3"/>
      <c r="B25" s="3"/>
      <c r="C25" s="3"/>
    </row>
    <row r="26" ht="15.75" customHeight="1">
      <c r="A26" s="3"/>
      <c r="B26" s="3"/>
      <c r="C26" s="3"/>
    </row>
    <row r="27" ht="15.75" customHeight="1">
      <c r="A27" s="3"/>
      <c r="B27" s="3"/>
      <c r="C27" s="3"/>
    </row>
    <row r="28" ht="15.75" customHeight="1">
      <c r="A28" s="3"/>
      <c r="B28" s="3"/>
      <c r="C28" s="3"/>
    </row>
    <row r="29" ht="15.75" customHeight="1">
      <c r="A29" s="3"/>
      <c r="B29" s="3"/>
      <c r="C29" s="3"/>
    </row>
    <row r="30" ht="15.75" customHeight="1">
      <c r="A30" s="3"/>
      <c r="B30" s="3"/>
      <c r="C30" s="3"/>
    </row>
    <row r="31" ht="15.75" customHeight="1">
      <c r="A31" s="3"/>
      <c r="B31" s="3"/>
      <c r="C31" s="3"/>
    </row>
    <row r="32" ht="15.75" customHeight="1">
      <c r="A32" s="3"/>
      <c r="B32" s="3"/>
      <c r="C32" s="3"/>
    </row>
    <row r="33" ht="15.75" customHeight="1">
      <c r="A33" s="3"/>
      <c r="B33" s="3"/>
      <c r="C33" s="3"/>
    </row>
    <row r="34" ht="15.75" customHeight="1">
      <c r="A34" s="3"/>
      <c r="B34" s="3"/>
      <c r="C34" s="3"/>
    </row>
    <row r="35" ht="15.75" customHeight="1">
      <c r="A35" s="3"/>
      <c r="B35" s="3"/>
      <c r="C35" s="3"/>
    </row>
    <row r="36" ht="15.75" customHeight="1">
      <c r="A36" s="3"/>
      <c r="B36" s="3"/>
      <c r="C36" s="3"/>
    </row>
    <row r="37" ht="15.75" customHeight="1">
      <c r="A37" s="3"/>
      <c r="B37" s="3"/>
      <c r="C37" s="3"/>
    </row>
    <row r="38" ht="15.75" customHeight="1">
      <c r="A38" s="3"/>
      <c r="B38" s="3"/>
      <c r="C38" s="3"/>
    </row>
    <row r="39" ht="15.75" customHeight="1">
      <c r="A39" s="3"/>
      <c r="B39" s="3"/>
      <c r="C39" s="3"/>
    </row>
    <row r="40" ht="15.75" customHeight="1">
      <c r="A40" s="3"/>
      <c r="B40" s="3"/>
      <c r="C40" s="3"/>
    </row>
    <row r="41" ht="15.75" customHeight="1">
      <c r="A41" s="3"/>
      <c r="B41" s="3"/>
      <c r="C41" s="3"/>
    </row>
    <row r="42" ht="15.75" customHeight="1">
      <c r="A42" s="3"/>
      <c r="B42" s="3"/>
      <c r="C42" s="3"/>
    </row>
    <row r="43" ht="15.75" customHeight="1">
      <c r="A43" s="3"/>
      <c r="B43" s="3"/>
      <c r="C43" s="3"/>
    </row>
    <row r="44" ht="15.75" customHeight="1">
      <c r="A44" s="3"/>
      <c r="B44" s="3"/>
      <c r="C44" s="3"/>
    </row>
    <row r="45" ht="15.75" customHeight="1">
      <c r="A45" s="3"/>
      <c r="B45" s="3"/>
      <c r="C45" s="3"/>
    </row>
    <row r="46" ht="15.75" customHeight="1">
      <c r="A46" s="3"/>
      <c r="B46" s="3"/>
      <c r="C46" s="3"/>
    </row>
    <row r="47" ht="15.75" customHeight="1">
      <c r="A47" s="3"/>
      <c r="B47" s="3"/>
      <c r="C47" s="3"/>
    </row>
    <row r="48" ht="15.75" customHeight="1">
      <c r="A48" s="3"/>
      <c r="B48" s="3"/>
      <c r="C48" s="3"/>
    </row>
    <row r="49" ht="15.75" customHeight="1">
      <c r="A49" s="3"/>
      <c r="B49" s="3"/>
      <c r="C49" s="3"/>
    </row>
    <row r="50" ht="15.75" customHeight="1">
      <c r="A50" s="3"/>
      <c r="B50" s="3"/>
      <c r="C50" s="3"/>
    </row>
    <row r="51" ht="15.75" customHeight="1">
      <c r="A51" s="3"/>
      <c r="B51" s="3"/>
      <c r="C51" s="3"/>
    </row>
    <row r="52" ht="15.75" customHeight="1">
      <c r="A52" s="3"/>
      <c r="B52" s="3"/>
      <c r="C52" s="3"/>
    </row>
    <row r="53" ht="15.75" customHeight="1">
      <c r="A53" s="3"/>
      <c r="B53" s="3"/>
      <c r="C53" s="3"/>
    </row>
    <row r="54" ht="15.75" customHeight="1">
      <c r="A54" s="3"/>
      <c r="B54" s="3"/>
      <c r="C54" s="3"/>
    </row>
    <row r="55" ht="15.75" customHeight="1">
      <c r="A55" s="3"/>
      <c r="B55" s="3"/>
      <c r="C55" s="3"/>
    </row>
    <row r="56" ht="15.75" customHeight="1">
      <c r="A56" s="3"/>
      <c r="B56" s="3"/>
      <c r="C56" s="3"/>
    </row>
    <row r="57" ht="15.75" customHeight="1">
      <c r="A57" s="3"/>
      <c r="B57" s="3"/>
      <c r="C57" s="3"/>
    </row>
    <row r="58" ht="15.75" customHeight="1">
      <c r="A58" s="3"/>
      <c r="B58" s="3"/>
      <c r="C58" s="3"/>
    </row>
    <row r="59" ht="15.75" customHeight="1">
      <c r="A59" s="3"/>
      <c r="B59" s="3"/>
      <c r="C59" s="3"/>
    </row>
    <row r="60" ht="15.75" customHeight="1">
      <c r="A60" s="3"/>
      <c r="B60" s="3"/>
      <c r="C60" s="3"/>
    </row>
    <row r="61" ht="15.75" customHeight="1">
      <c r="A61" s="3"/>
      <c r="B61" s="3"/>
      <c r="C61" s="3"/>
    </row>
    <row r="62" ht="15.75" customHeight="1">
      <c r="A62" s="3"/>
      <c r="B62" s="3"/>
      <c r="C62" s="3"/>
    </row>
    <row r="63" ht="15.75" customHeight="1">
      <c r="A63" s="3"/>
      <c r="B63" s="3"/>
      <c r="C63" s="3"/>
    </row>
    <row r="64" ht="15.75" customHeight="1">
      <c r="A64" s="3"/>
      <c r="B64" s="3"/>
      <c r="C64" s="3"/>
    </row>
    <row r="65" ht="15.75" customHeight="1">
      <c r="A65" s="3"/>
      <c r="B65" s="3"/>
      <c r="C65" s="3"/>
    </row>
    <row r="66" ht="15.75" customHeight="1">
      <c r="A66" s="3"/>
      <c r="B66" s="3"/>
      <c r="C66" s="3"/>
    </row>
    <row r="67" ht="15.75" customHeight="1">
      <c r="A67" s="3"/>
      <c r="B67" s="3"/>
      <c r="C67" s="3"/>
    </row>
    <row r="68" ht="15.75" customHeight="1">
      <c r="A68" s="3"/>
      <c r="B68" s="3"/>
      <c r="C68" s="3"/>
    </row>
    <row r="69" ht="15.75" customHeight="1">
      <c r="A69" s="3"/>
      <c r="B69" s="3"/>
      <c r="C69" s="3"/>
    </row>
    <row r="70" ht="15.75" customHeight="1">
      <c r="A70" s="3"/>
      <c r="B70" s="3"/>
      <c r="C70" s="3"/>
    </row>
    <row r="71" ht="15.75" customHeight="1">
      <c r="A71" s="3"/>
      <c r="B71" s="3"/>
      <c r="C71" s="3"/>
    </row>
    <row r="72" ht="15.75" customHeight="1">
      <c r="A72" s="3"/>
      <c r="B72" s="3"/>
      <c r="C72" s="3"/>
    </row>
    <row r="73" ht="15.75" customHeight="1">
      <c r="A73" s="3"/>
      <c r="B73" s="3"/>
      <c r="C73" s="3"/>
    </row>
    <row r="74" ht="15.75" customHeight="1">
      <c r="A74" s="3"/>
      <c r="B74" s="3"/>
      <c r="C74" s="3"/>
    </row>
    <row r="75" ht="15.75" customHeight="1">
      <c r="A75" s="3"/>
      <c r="B75" s="3"/>
      <c r="C75" s="3"/>
    </row>
    <row r="76" ht="15.75" customHeight="1">
      <c r="A76" s="3"/>
      <c r="B76" s="3"/>
      <c r="C76" s="3"/>
    </row>
    <row r="77" ht="15.75" customHeight="1">
      <c r="A77" s="3"/>
      <c r="B77" s="3"/>
      <c r="C77" s="3"/>
    </row>
    <row r="78" ht="15.75" customHeight="1">
      <c r="A78" s="3"/>
      <c r="B78" s="3"/>
      <c r="C78" s="3"/>
    </row>
    <row r="79" ht="15.75" customHeight="1">
      <c r="A79" s="3"/>
      <c r="B79" s="3"/>
      <c r="C79" s="3"/>
    </row>
    <row r="80" ht="15.75" customHeight="1">
      <c r="A80" s="3"/>
      <c r="B80" s="3"/>
      <c r="C80" s="3"/>
    </row>
    <row r="81" ht="15.75" customHeight="1">
      <c r="A81" s="3"/>
      <c r="B81" s="3"/>
      <c r="C81" s="3"/>
    </row>
    <row r="82" ht="15.75" customHeight="1">
      <c r="A82" s="3"/>
      <c r="B82" s="3"/>
      <c r="C82" s="3"/>
    </row>
    <row r="83" ht="15.75" customHeight="1">
      <c r="A83" s="3"/>
      <c r="B83" s="3"/>
      <c r="C83" s="3"/>
    </row>
    <row r="84" ht="15.75" customHeight="1">
      <c r="A84" s="3"/>
      <c r="B84" s="3"/>
      <c r="C84" s="3"/>
    </row>
    <row r="85" ht="15.75" customHeight="1">
      <c r="A85" s="3"/>
      <c r="B85" s="3"/>
      <c r="C85" s="3"/>
    </row>
    <row r="86" ht="15.75" customHeight="1">
      <c r="A86" s="3"/>
      <c r="B86" s="3"/>
      <c r="C86" s="3"/>
    </row>
    <row r="87" ht="15.75" customHeight="1">
      <c r="A87" s="3"/>
      <c r="B87" s="3"/>
      <c r="C87" s="3"/>
    </row>
    <row r="88" ht="15.75" customHeight="1">
      <c r="A88" s="3"/>
      <c r="B88" s="3"/>
      <c r="C88" s="3"/>
    </row>
    <row r="89" ht="15.75" customHeight="1">
      <c r="A89" s="3"/>
      <c r="B89" s="3"/>
      <c r="C89" s="3"/>
    </row>
    <row r="90" ht="15.75" customHeight="1">
      <c r="A90" s="3"/>
      <c r="B90" s="3"/>
      <c r="C90" s="3"/>
    </row>
    <row r="91" ht="15.75" customHeight="1">
      <c r="A91" s="3"/>
      <c r="B91" s="3"/>
      <c r="C91" s="3"/>
    </row>
    <row r="92" ht="15.75" customHeight="1">
      <c r="A92" s="3"/>
      <c r="B92" s="3"/>
      <c r="C92" s="3"/>
    </row>
    <row r="93" ht="15.75" customHeight="1">
      <c r="A93" s="3"/>
      <c r="B93" s="3"/>
      <c r="C93" s="3"/>
    </row>
    <row r="94" ht="15.75" customHeight="1">
      <c r="A94" s="3"/>
      <c r="B94" s="3"/>
      <c r="C94" s="3"/>
    </row>
    <row r="95" ht="15.75" customHeight="1">
      <c r="A95" s="3"/>
      <c r="B95" s="3"/>
      <c r="C95" s="3"/>
    </row>
    <row r="96" ht="15.75" customHeight="1">
      <c r="A96" s="3"/>
      <c r="B96" s="3"/>
      <c r="C96" s="3"/>
    </row>
    <row r="97" ht="15.75" customHeight="1">
      <c r="A97" s="3"/>
      <c r="B97" s="3"/>
      <c r="C97" s="3"/>
    </row>
    <row r="98" ht="15.75" customHeight="1">
      <c r="A98" s="3"/>
      <c r="B98" s="3"/>
      <c r="C98" s="3"/>
    </row>
    <row r="99" ht="15.75" customHeight="1">
      <c r="A99" s="3"/>
      <c r="B99" s="3"/>
      <c r="C99" s="3"/>
    </row>
    <row r="100" ht="15.75" customHeight="1">
      <c r="A100" s="3"/>
      <c r="B100" s="3"/>
      <c r="C100" s="3"/>
    </row>
    <row r="101" ht="15.75" customHeight="1">
      <c r="A101" s="3"/>
      <c r="B101" s="3"/>
      <c r="C101" s="3"/>
    </row>
    <row r="102" ht="15.75" customHeight="1">
      <c r="A102" s="3"/>
      <c r="B102" s="3"/>
      <c r="C102" s="3"/>
    </row>
    <row r="103" ht="15.75" customHeight="1">
      <c r="A103" s="3"/>
      <c r="B103" s="3"/>
      <c r="C103" s="3"/>
    </row>
    <row r="104" ht="15.75" customHeight="1">
      <c r="A104" s="3"/>
      <c r="B104" s="3"/>
      <c r="C104" s="3"/>
    </row>
    <row r="105" ht="15.75" customHeight="1">
      <c r="A105" s="3"/>
      <c r="B105" s="3"/>
      <c r="C105" s="3"/>
    </row>
    <row r="106" ht="15.75" customHeight="1">
      <c r="A106" s="3"/>
      <c r="B106" s="3"/>
      <c r="C106" s="3"/>
    </row>
    <row r="107" ht="15.75" customHeight="1">
      <c r="A107" s="3"/>
      <c r="B107" s="3"/>
      <c r="C107" s="3"/>
    </row>
    <row r="108" ht="15.75" customHeight="1">
      <c r="A108" s="3"/>
      <c r="B108" s="3"/>
      <c r="C108" s="3"/>
    </row>
    <row r="109" ht="15.75" customHeight="1">
      <c r="A109" s="3"/>
      <c r="B109" s="3"/>
      <c r="C109" s="3"/>
    </row>
    <row r="110" ht="15.75" customHeight="1">
      <c r="A110" s="3"/>
      <c r="B110" s="3"/>
      <c r="C110" s="3"/>
    </row>
    <row r="111" ht="15.75" customHeight="1">
      <c r="A111" s="3"/>
      <c r="B111" s="3"/>
      <c r="C111" s="3"/>
    </row>
    <row r="112" ht="15.75" customHeight="1">
      <c r="A112" s="3"/>
      <c r="B112" s="3"/>
      <c r="C112" s="3"/>
    </row>
    <row r="113" ht="15.75" customHeight="1">
      <c r="A113" s="3"/>
      <c r="B113" s="3"/>
      <c r="C113" s="3"/>
    </row>
    <row r="114" ht="15.75" customHeight="1">
      <c r="A114" s="3"/>
      <c r="B114" s="3"/>
      <c r="C114" s="3"/>
    </row>
    <row r="115" ht="15.75" customHeight="1">
      <c r="A115" s="3"/>
      <c r="B115" s="3"/>
      <c r="C115" s="3"/>
    </row>
    <row r="116" ht="15.75" customHeight="1">
      <c r="A116" s="3"/>
      <c r="B116" s="3"/>
      <c r="C116" s="3"/>
    </row>
    <row r="117" ht="15.75" customHeight="1">
      <c r="A117" s="3"/>
      <c r="B117" s="3"/>
      <c r="C117" s="3"/>
    </row>
    <row r="118" ht="15.75" customHeight="1">
      <c r="A118" s="3"/>
      <c r="B118" s="3"/>
      <c r="C118" s="3"/>
    </row>
    <row r="119" ht="15.75" customHeight="1">
      <c r="A119" s="3"/>
      <c r="B119" s="3"/>
      <c r="C119" s="3"/>
    </row>
    <row r="120" ht="15.75" customHeight="1">
      <c r="A120" s="3"/>
      <c r="B120" s="3"/>
      <c r="C120" s="3"/>
    </row>
    <row r="121" ht="15.75" customHeight="1">
      <c r="A121" s="3"/>
      <c r="B121" s="3"/>
      <c r="C121" s="3"/>
    </row>
    <row r="122" ht="15.75" customHeight="1">
      <c r="A122" s="3"/>
      <c r="B122" s="3"/>
      <c r="C122" s="3"/>
    </row>
    <row r="123" ht="15.75" customHeight="1">
      <c r="A123" s="3"/>
      <c r="B123" s="3"/>
      <c r="C123" s="3"/>
    </row>
    <row r="124" ht="15.75" customHeight="1">
      <c r="A124" s="3"/>
      <c r="B124" s="3"/>
      <c r="C124" s="3"/>
    </row>
    <row r="125" ht="15.75" customHeight="1">
      <c r="A125" s="3"/>
      <c r="B125" s="3"/>
      <c r="C125" s="3"/>
    </row>
    <row r="126" ht="15.75" customHeight="1">
      <c r="A126" s="3"/>
      <c r="B126" s="3"/>
      <c r="C126" s="3"/>
    </row>
    <row r="127" ht="15.75" customHeight="1">
      <c r="A127" s="3"/>
      <c r="B127" s="3"/>
      <c r="C127" s="3"/>
    </row>
    <row r="128" ht="15.75" customHeight="1">
      <c r="A128" s="3"/>
      <c r="B128" s="3"/>
      <c r="C128" s="3"/>
    </row>
    <row r="129" ht="15.75" customHeight="1">
      <c r="A129" s="3"/>
      <c r="B129" s="3"/>
      <c r="C129" s="3"/>
    </row>
    <row r="130" ht="15.75" customHeight="1">
      <c r="A130" s="3"/>
      <c r="B130" s="3"/>
      <c r="C130" s="3"/>
    </row>
    <row r="131" ht="15.75" customHeight="1">
      <c r="A131" s="3"/>
      <c r="B131" s="3"/>
      <c r="C131" s="3"/>
    </row>
    <row r="132" ht="15.75" customHeight="1">
      <c r="A132" s="3"/>
      <c r="B132" s="3"/>
      <c r="C132" s="3"/>
    </row>
    <row r="133" ht="15.75" customHeight="1">
      <c r="A133" s="3"/>
      <c r="B133" s="3"/>
      <c r="C133" s="3"/>
    </row>
    <row r="134" ht="15.75" customHeight="1">
      <c r="A134" s="3"/>
      <c r="B134" s="3"/>
      <c r="C134" s="3"/>
    </row>
    <row r="135" ht="15.75" customHeight="1">
      <c r="A135" s="3"/>
      <c r="B135" s="3"/>
      <c r="C135" s="3"/>
    </row>
    <row r="136" ht="15.75" customHeight="1">
      <c r="A136" s="3"/>
      <c r="B136" s="3"/>
      <c r="C136" s="3"/>
    </row>
    <row r="137" ht="15.75" customHeight="1">
      <c r="A137" s="3"/>
      <c r="B137" s="3"/>
      <c r="C137" s="3"/>
    </row>
    <row r="138" ht="15.75" customHeight="1">
      <c r="A138" s="3"/>
      <c r="B138" s="3"/>
      <c r="C138" s="3"/>
    </row>
    <row r="139" ht="15.75" customHeight="1">
      <c r="A139" s="3"/>
      <c r="B139" s="3"/>
      <c r="C139" s="3"/>
    </row>
    <row r="140" ht="15.75" customHeight="1">
      <c r="A140" s="3"/>
      <c r="B140" s="3"/>
      <c r="C140" s="3"/>
    </row>
    <row r="141" ht="15.75" customHeight="1">
      <c r="A141" s="3"/>
      <c r="B141" s="3"/>
      <c r="C141" s="3"/>
    </row>
    <row r="142" ht="15.75" customHeight="1">
      <c r="A142" s="3"/>
      <c r="B142" s="3"/>
      <c r="C142" s="3"/>
    </row>
    <row r="143" ht="15.75" customHeight="1">
      <c r="A143" s="3"/>
      <c r="B143" s="3"/>
      <c r="C143" s="3"/>
    </row>
    <row r="144" ht="15.75" customHeight="1">
      <c r="A144" s="3"/>
      <c r="B144" s="3"/>
      <c r="C144" s="3"/>
    </row>
    <row r="145" ht="15.75" customHeight="1">
      <c r="A145" s="3"/>
      <c r="B145" s="3"/>
      <c r="C145" s="3"/>
    </row>
    <row r="146" ht="15.75" customHeight="1">
      <c r="A146" s="3"/>
      <c r="B146" s="3"/>
      <c r="C146" s="3"/>
    </row>
    <row r="147" ht="15.75" customHeight="1">
      <c r="A147" s="3"/>
      <c r="B147" s="3"/>
      <c r="C147" s="3"/>
    </row>
    <row r="148" ht="15.75" customHeight="1">
      <c r="A148" s="3"/>
      <c r="B148" s="3"/>
      <c r="C148" s="3"/>
    </row>
    <row r="149" ht="15.75" customHeight="1">
      <c r="A149" s="3"/>
      <c r="B149" s="3"/>
      <c r="C149" s="3"/>
    </row>
    <row r="150" ht="15.75" customHeight="1">
      <c r="A150" s="3"/>
      <c r="B150" s="3"/>
      <c r="C150" s="3"/>
    </row>
    <row r="151" ht="15.75" customHeight="1">
      <c r="A151" s="3"/>
      <c r="B151" s="3"/>
      <c r="C151" s="3"/>
    </row>
    <row r="152" ht="15.75" customHeight="1">
      <c r="A152" s="3"/>
      <c r="B152" s="3"/>
      <c r="C152" s="3"/>
    </row>
    <row r="153" ht="15.75" customHeight="1">
      <c r="A153" s="3"/>
      <c r="B153" s="3"/>
      <c r="C153" s="3"/>
    </row>
    <row r="154" ht="15.75" customHeight="1">
      <c r="A154" s="3"/>
      <c r="B154" s="3"/>
      <c r="C154" s="3"/>
    </row>
    <row r="155" ht="15.75" customHeight="1">
      <c r="A155" s="3"/>
      <c r="B155" s="3"/>
      <c r="C155" s="3"/>
    </row>
    <row r="156" ht="15.75" customHeight="1">
      <c r="A156" s="3"/>
      <c r="B156" s="3"/>
      <c r="C156" s="3"/>
    </row>
    <row r="157" ht="15.75" customHeight="1">
      <c r="A157" s="3"/>
      <c r="B157" s="3"/>
      <c r="C157" s="3"/>
    </row>
    <row r="158" ht="15.75" customHeight="1">
      <c r="A158" s="3"/>
      <c r="B158" s="3"/>
      <c r="C158" s="3"/>
    </row>
    <row r="159" ht="15.75" customHeight="1">
      <c r="A159" s="3"/>
      <c r="B159" s="3"/>
      <c r="C159" s="3"/>
    </row>
    <row r="160" ht="15.75" customHeight="1">
      <c r="A160" s="3"/>
      <c r="B160" s="3"/>
      <c r="C160" s="3"/>
    </row>
    <row r="161" ht="15.75" customHeight="1">
      <c r="A161" s="3"/>
      <c r="B161" s="3"/>
      <c r="C161" s="3"/>
    </row>
    <row r="162" ht="15.75" customHeight="1">
      <c r="A162" s="3"/>
      <c r="B162" s="3"/>
      <c r="C162" s="3"/>
    </row>
    <row r="163" ht="15.75" customHeight="1">
      <c r="A163" s="3"/>
      <c r="B163" s="3"/>
      <c r="C163" s="3"/>
    </row>
    <row r="164" ht="15.75" customHeight="1">
      <c r="A164" s="3"/>
      <c r="B164" s="3"/>
      <c r="C164" s="3"/>
    </row>
    <row r="165" ht="15.75" customHeight="1">
      <c r="A165" s="3"/>
      <c r="B165" s="3"/>
      <c r="C165" s="3"/>
    </row>
    <row r="166" ht="15.75" customHeight="1">
      <c r="A166" s="3"/>
      <c r="B166" s="3"/>
      <c r="C166" s="3"/>
    </row>
    <row r="167" ht="15.75" customHeight="1">
      <c r="A167" s="3"/>
      <c r="B167" s="3"/>
      <c r="C167" s="3"/>
    </row>
    <row r="168" ht="15.75" customHeight="1">
      <c r="A168" s="3"/>
      <c r="B168" s="3"/>
      <c r="C168" s="3"/>
    </row>
    <row r="169" ht="15.75" customHeight="1">
      <c r="A169" s="3"/>
      <c r="B169" s="3"/>
      <c r="C169" s="3"/>
    </row>
    <row r="170" ht="15.75" customHeight="1">
      <c r="A170" s="3"/>
      <c r="B170" s="3"/>
      <c r="C170" s="3"/>
    </row>
    <row r="171" ht="15.75" customHeight="1">
      <c r="A171" s="3"/>
      <c r="B171" s="3"/>
      <c r="C171" s="3"/>
    </row>
    <row r="172" ht="15.75" customHeight="1">
      <c r="A172" s="3"/>
      <c r="B172" s="3"/>
      <c r="C172" s="3"/>
    </row>
    <row r="173" ht="15.75" customHeight="1">
      <c r="A173" s="3"/>
      <c r="B173" s="3"/>
      <c r="C173" s="3"/>
    </row>
    <row r="174" ht="15.75" customHeight="1">
      <c r="A174" s="3"/>
      <c r="B174" s="3"/>
      <c r="C174" s="3"/>
    </row>
    <row r="175" ht="15.75" customHeight="1">
      <c r="A175" s="3"/>
      <c r="B175" s="3"/>
      <c r="C175" s="3"/>
    </row>
    <row r="176" ht="15.75" customHeight="1">
      <c r="A176" s="3"/>
      <c r="B176" s="3"/>
      <c r="C176" s="3"/>
    </row>
    <row r="177" ht="15.75" customHeight="1">
      <c r="A177" s="3"/>
      <c r="B177" s="3"/>
      <c r="C177" s="3"/>
    </row>
    <row r="178" ht="15.75" customHeight="1">
      <c r="A178" s="3"/>
      <c r="B178" s="3"/>
      <c r="C178" s="3"/>
    </row>
    <row r="179" ht="15.75" customHeight="1">
      <c r="A179" s="3"/>
      <c r="B179" s="3"/>
      <c r="C179" s="3"/>
    </row>
    <row r="180" ht="15.75" customHeight="1">
      <c r="A180" s="3"/>
      <c r="B180" s="3"/>
      <c r="C180" s="3"/>
    </row>
    <row r="181" ht="15.75" customHeight="1">
      <c r="A181" s="3"/>
      <c r="B181" s="3"/>
      <c r="C181" s="3"/>
    </row>
    <row r="182" ht="15.75" customHeight="1">
      <c r="A182" s="3"/>
      <c r="B182" s="3"/>
      <c r="C182" s="3"/>
    </row>
    <row r="183" ht="15.75" customHeight="1">
      <c r="A183" s="3"/>
      <c r="B183" s="3"/>
      <c r="C183" s="3"/>
    </row>
    <row r="184" ht="15.75" customHeight="1">
      <c r="A184" s="3"/>
      <c r="B184" s="3"/>
      <c r="C184" s="3"/>
    </row>
    <row r="185" ht="15.75" customHeight="1">
      <c r="A185" s="3"/>
      <c r="B185" s="3"/>
      <c r="C185" s="3"/>
    </row>
    <row r="186" ht="15.75" customHeight="1">
      <c r="A186" s="3"/>
      <c r="B186" s="3"/>
      <c r="C186" s="3"/>
    </row>
    <row r="187" ht="15.75" customHeight="1">
      <c r="A187" s="3"/>
      <c r="B187" s="3"/>
      <c r="C187" s="3"/>
    </row>
    <row r="188" ht="15.75" customHeight="1">
      <c r="A188" s="3"/>
      <c r="B188" s="3"/>
      <c r="C188" s="3"/>
    </row>
    <row r="189" ht="15.75" customHeight="1">
      <c r="A189" s="3"/>
      <c r="B189" s="3"/>
      <c r="C189" s="3"/>
    </row>
    <row r="190" ht="15.75" customHeight="1">
      <c r="A190" s="3"/>
      <c r="B190" s="3"/>
      <c r="C190" s="3"/>
    </row>
    <row r="191" ht="15.75" customHeight="1">
      <c r="A191" s="3"/>
      <c r="B191" s="3"/>
      <c r="C191" s="3"/>
    </row>
    <row r="192" ht="15.75" customHeight="1">
      <c r="A192" s="3"/>
      <c r="B192" s="3"/>
      <c r="C192" s="3"/>
    </row>
    <row r="193" ht="15.75" customHeight="1">
      <c r="A193" s="3"/>
      <c r="B193" s="3"/>
      <c r="C193" s="3"/>
    </row>
    <row r="194" ht="15.75" customHeight="1">
      <c r="A194" s="3"/>
      <c r="B194" s="3"/>
      <c r="C194" s="3"/>
    </row>
    <row r="195" ht="15.75" customHeight="1">
      <c r="A195" s="3"/>
      <c r="B195" s="3"/>
      <c r="C195" s="3"/>
    </row>
    <row r="196" ht="15.75" customHeight="1">
      <c r="A196" s="3"/>
      <c r="B196" s="3"/>
      <c r="C196" s="3"/>
    </row>
    <row r="197" ht="15.75" customHeight="1">
      <c r="A197" s="3"/>
      <c r="B197" s="3"/>
      <c r="C197" s="3"/>
    </row>
    <row r="198" ht="15.75" customHeight="1">
      <c r="A198" s="3"/>
      <c r="B198" s="3"/>
      <c r="C198" s="3"/>
    </row>
    <row r="199" ht="15.75" customHeight="1">
      <c r="A199" s="3"/>
      <c r="B199" s="3"/>
      <c r="C199" s="3"/>
    </row>
    <row r="200" ht="15.75" customHeight="1">
      <c r="A200" s="3"/>
      <c r="B200" s="3"/>
      <c r="C200" s="3"/>
    </row>
    <row r="201" ht="15.75" customHeight="1">
      <c r="A201" s="3"/>
      <c r="B201" s="3"/>
      <c r="C201" s="3"/>
    </row>
    <row r="202" ht="15.75" customHeight="1">
      <c r="A202" s="3"/>
      <c r="B202" s="3"/>
      <c r="C202" s="3"/>
    </row>
    <row r="203" ht="15.75" customHeight="1">
      <c r="A203" s="3"/>
      <c r="B203" s="3"/>
      <c r="C203" s="3"/>
    </row>
    <row r="204" ht="15.75" customHeight="1">
      <c r="A204" s="3"/>
      <c r="B204" s="3"/>
      <c r="C204" s="3"/>
    </row>
    <row r="205" ht="15.75" customHeight="1">
      <c r="A205" s="3"/>
      <c r="B205" s="3"/>
      <c r="C205" s="3"/>
    </row>
    <row r="206" ht="15.75" customHeight="1">
      <c r="A206" s="3"/>
      <c r="B206" s="3"/>
      <c r="C206" s="3"/>
    </row>
    <row r="207" ht="15.75" customHeight="1">
      <c r="A207" s="3"/>
      <c r="B207" s="3"/>
      <c r="C207" s="3"/>
    </row>
    <row r="208" ht="15.75" customHeight="1">
      <c r="A208" s="3"/>
      <c r="B208" s="3"/>
      <c r="C208" s="3"/>
    </row>
    <row r="209" ht="15.75" customHeight="1">
      <c r="A209" s="3"/>
      <c r="B209" s="3"/>
      <c r="C209" s="3"/>
    </row>
    <row r="210" ht="15.75" customHeight="1">
      <c r="A210" s="3"/>
      <c r="B210" s="3"/>
      <c r="C210" s="3"/>
    </row>
    <row r="211" ht="15.75" customHeight="1">
      <c r="A211" s="3"/>
      <c r="B211" s="3"/>
      <c r="C211" s="3"/>
    </row>
    <row r="212" ht="15.75" customHeight="1">
      <c r="A212" s="3"/>
      <c r="B212" s="3"/>
      <c r="C212" s="3"/>
    </row>
    <row r="213" ht="15.75" customHeight="1">
      <c r="A213" s="3"/>
      <c r="B213" s="3"/>
      <c r="C213" s="3"/>
    </row>
    <row r="214" ht="15.75" customHeight="1">
      <c r="A214" s="3"/>
      <c r="B214" s="3"/>
      <c r="C214" s="3"/>
    </row>
    <row r="215" ht="15.75" customHeight="1">
      <c r="A215" s="3"/>
      <c r="B215" s="3"/>
      <c r="C215" s="3"/>
    </row>
    <row r="216" ht="15.75" customHeight="1">
      <c r="A216" s="3"/>
      <c r="B216" s="3"/>
      <c r="C216" s="3"/>
    </row>
    <row r="217" ht="15.75" customHeight="1">
      <c r="A217" s="3"/>
      <c r="B217" s="3"/>
      <c r="C217" s="3"/>
    </row>
    <row r="218" ht="15.75" customHeight="1">
      <c r="A218" s="3"/>
      <c r="B218" s="3"/>
      <c r="C218" s="3"/>
    </row>
    <row r="219" ht="15.75" customHeight="1">
      <c r="A219" s="3"/>
      <c r="B219" s="3"/>
      <c r="C219" s="3"/>
    </row>
    <row r="220" ht="15.75" customHeight="1">
      <c r="A220" s="3"/>
      <c r="B220" s="3"/>
      <c r="C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C2"/>
    <mergeCell ref="A15:C15"/>
    <mergeCell ref="A16:C16"/>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file>