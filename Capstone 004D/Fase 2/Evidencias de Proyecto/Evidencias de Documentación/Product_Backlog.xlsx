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Criterio de esfuerzo" sheetId="2" r:id="rId5"/>
    <sheet state="visible" name="Instructivo" sheetId="3" r:id="rId6"/>
  </sheets>
  <definedNames/>
  <calcPr/>
  <extLst>
    <ext uri="GoogleSheetsCustomDataVersion2">
      <go:sheetsCustomData xmlns:go="http://customooxmlschemas.google.com/" r:id="rId7" roundtripDataChecksum="SeqyIs37+J4cRQlattvhCn5o7MHLFo5S8WyZz8fvVDw="/>
    </ext>
  </extLst>
</workbook>
</file>

<file path=xl/sharedStrings.xml><?xml version="1.0" encoding="utf-8"?>
<sst xmlns="http://schemas.openxmlformats.org/spreadsheetml/2006/main" count="360" uniqueCount="254">
  <si>
    <t>Criterio de esfuerzo (puntos de historia)</t>
  </si>
  <si>
    <t xml:space="preserve">El esfuerzo se mide en puntos de historia con la escala de Fibonacci. Un punto equivale a unas 2 horas de trabajo de una persona. </t>
  </si>
  <si>
    <t>Puntos</t>
  </si>
  <si>
    <t>Pila de Producto (Product Backlog): Instructivo</t>
  </si>
  <si>
    <t>Qué significa</t>
  </si>
  <si>
    <t>Ejemplo en el proyecto</t>
  </si>
  <si>
    <t>Desarrollo ágil: Pila de Producto (Product Backlog)</t>
  </si>
  <si>
    <t>Cambio pequeño y conocido: un ajuste o una pantalla simple, sin riesgo.</t>
  </si>
  <si>
    <t>Cerrar sesión (HU-AUTH-0007)</t>
  </si>
  <si>
    <t>Elaborado por: pmoinformatica.com</t>
  </si>
  <si>
    <t>Tarea sencilla: una pantalla o un endpoint con poca lógica.</t>
  </si>
  <si>
    <t>Limitar intentos de acceso (HU-SEGU-0003)</t>
  </si>
  <si>
    <t>Trabajo moderado: una pantalla con lógica o varias piezas simples.</t>
  </si>
  <si>
    <t>Ficha del paciente (HU-PACI-0004)</t>
  </si>
  <si>
    <t>Trabajo considerable: varias pantallas o lógica con validaciones.</t>
  </si>
  <si>
    <t>Recuperar contraseña (HU-AUTH-0005)</t>
  </si>
  <si>
    <t>Columna</t>
  </si>
  <si>
    <t>Trabajo complejo: varias pantallas, backend y base de datos, o mucha lógica.</t>
  </si>
  <si>
    <t>Calendario clínico semanal (HU-AGEN-0004)</t>
  </si>
  <si>
    <t>Trabajo muy complejo o incierto: depende de tecnología nueva o de integraciones.</t>
  </si>
  <si>
    <t>Conectar H.O.P.E. a un modelo de IA (HU-HOPE-0002)</t>
  </si>
  <si>
    <t>Instrucciones</t>
  </si>
  <si>
    <t>Factores que se consideran</t>
  </si>
  <si>
    <t>1. Complejidad técnica de la funcionalidad.</t>
  </si>
  <si>
    <t>2. Tamaño: cantidad de pantallas, endpoints y tablas.</t>
  </si>
  <si>
    <t>3. Incertidumbre y dependencias (por ejemplo IA, seguridad o servicios externos).</t>
  </si>
  <si>
    <t>Identificador (ID) de la Historia</t>
  </si>
  <si>
    <t>4. Pruebas necesarias para darla por terminada.</t>
  </si>
  <si>
    <t>Código que identifica a la historia de forma unívoca, una vez asignado, no debe ser re-usado en otra historia, ni siquiera si la historia es descartada. El código identifica la historia en otros documentos, como por ejemplo la plantilla de historias de usuario.</t>
  </si>
  <si>
    <t>Puntos por sprint (sprint planificado)</t>
  </si>
  <si>
    <t>Sprint</t>
  </si>
  <si>
    <t>Enunciado de la Historia</t>
  </si>
  <si>
    <t>Historias</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</si>
  <si>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</si>
  <si>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</si>
  <si>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</si>
  <si>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</si>
  <si>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</si>
  <si>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</si>
  <si>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</si>
  <si>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(Sprint)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</si>
  <si>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</si>
  <si>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Prioridad</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</si>
  <si>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</si>
  <si>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</si>
  <si>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Comentarios o detalles relacionadas que expliquen la historia. Para definiciones de mayor longitud deben usarse documentos externos, por ejemplo la plantilla de historias de usuario.</t>
  </si>
  <si>
    <t>HU-AUTH-0001</t>
  </si>
  <si>
    <t>Como un usuario, necesito iniciar sesión con mi correo y contraseña, con la finalidad de acceder de forma segura a mi perfil</t>
  </si>
  <si>
    <t>Inicio de sesión</t>
  </si>
  <si>
    <t>Hecho</t>
  </si>
  <si>
    <t>Alta</t>
  </si>
  <si>
    <t>Funciona con correo y contraseña</t>
  </si>
  <si>
    <t>HU-AUTH-0002</t>
  </si>
  <si>
    <t>Como un usuario, necesito que el sistema verifique si mi correo ya está registrado, con la finalidad de guiarme al flujo de acceso correcto</t>
  </si>
  <si>
    <t xml:space="preserve">Verificación de correo
</t>
  </si>
  <si>
    <t>Media</t>
  </si>
  <si>
    <t>Se consulta antes de iniciar sesión o activar la cuenta</t>
  </si>
  <si>
    <t>Por definir</t>
  </si>
  <si>
    <t>HU-AUTH-0003</t>
  </si>
  <si>
    <t>Como un usuario nuevo, necesito activar mi cuenta con un código enviado a mi correo, con la finalidad de validar mi identidad antes de usar la app</t>
  </si>
  <si>
    <t>Activación de cuenta</t>
  </si>
  <si>
    <t>El código llega por correo</t>
  </si>
  <si>
    <t>HU-AUTH-0004</t>
  </si>
  <si>
    <t>Como un usuario nuevo, necesito crear mi contraseña inicial cumpliendo requisitos de seguridad, con la finalidad de proteger mi cuenta</t>
  </si>
  <si>
    <t>Contraseña inicial</t>
  </si>
  <si>
    <t>Incluye requisitos mínimos de contraseña</t>
  </si>
  <si>
    <t>HU-AUTH-0005</t>
  </si>
  <si>
    <t>Como un usuario, necesito recuperar mi contraseña mediante un código enviado a mi correo, con la finalidad de volver a ingresar si la olvido</t>
  </si>
  <si>
    <t>Recuperar contraseña</t>
  </si>
  <si>
    <t>Total</t>
  </si>
  <si>
    <t>Se usa un código enviado al correo</t>
  </si>
  <si>
    <t>HU-AUTH-0006</t>
  </si>
  <si>
    <t>Como un usuario con perfil de paciente y de psicólogo, necesito alternar entre ambos perfiles, con la finalidad de usar la app en los dos roles sin cerrar sesión</t>
  </si>
  <si>
    <t>Cambio de rol</t>
  </si>
  <si>
    <t>No estaba en el plan original de la Fase 1</t>
  </si>
  <si>
    <t>HU-AUTH-0007</t>
  </si>
  <si>
    <t>Como un usuario, necesito cerrar sesión desde mi perfil, con la finalidad de proteger mi cuenta en dispositivos compartidos</t>
  </si>
  <si>
    <t>Cierre de sesión</t>
  </si>
  <si>
    <t>Disponible en el perfil de paciente y de psicólogo</t>
  </si>
  <si>
    <t>HU-AUTH-0008</t>
  </si>
  <si>
    <t>Como un usuario, necesito que mi sesión se guarde de forma segura en el dispositivo, con la finalidad de no tener que iniciar sesión cada vez</t>
  </si>
  <si>
    <t>Sesión persistente</t>
  </si>
  <si>
    <t>La sesión se guarda de forma segura en el teléfono</t>
  </si>
  <si>
    <t>HU-SEGU-0001</t>
  </si>
  <si>
    <t>Como un usuario, necesito leer y aceptar los términos de tratamiento de datos (Ley N° 21.719) al ingresar, con la finalidad de autorizar el uso de mi información</t>
  </si>
  <si>
    <t>Consentimiento de datos</t>
  </si>
  <si>
    <t>Se acepta en la pantalla de ingreso</t>
  </si>
  <si>
    <t>HU-SEGU-0002</t>
  </si>
  <si>
    <t>Como un usuario del sistema, necesito que cada perfil solo acceda a la información que le corresponde, con la finalidad de proteger datos sensibles de salud</t>
  </si>
  <si>
    <t>Control de acceso por rol</t>
  </si>
  <si>
    <t>El acceso depende del rol; el panel de administración se protege en HU-SEGU-0006</t>
  </si>
  <si>
    <t>HU-SEGU-0003</t>
  </si>
  <si>
    <t>Como un usuario, necesito que el sistema limite los intentos repetidos de acceso y de códigos, con la finalidad de evitar abusos y ataques de fuerza bruta</t>
  </si>
  <si>
    <t>Límite de intentos</t>
  </si>
  <si>
    <t>Limita los intentos de ingreso y de códigos</t>
  </si>
  <si>
    <t>HU-SEGU-0004</t>
  </si>
  <si>
    <t>Como un administrador del servicio, necesito que el registro de pacientes y el agendamiento requieran una suscripción activa, con la finalidad de controlar el uso de la plataforma</t>
  </si>
  <si>
    <t>Suscripción activa</t>
  </si>
  <si>
    <t>Sin suscripción activa se bloquea registrar pacientes y agendar</t>
  </si>
  <si>
    <t>HU-SEGU-0005</t>
  </si>
  <si>
    <t>Como un paciente, necesito que mis conversaciones con H.O.P.E. se guarden cifradas, con la finalidad de proteger mi información</t>
  </si>
  <si>
    <t>Cifrado de conversaciones</t>
  </si>
  <si>
    <t>Pendiente</t>
  </si>
  <si>
    <t>Planteado en el Resumen Inicial; depende de H.O.P.E.</t>
  </si>
  <si>
    <t>HU-SEGU-0006</t>
  </si>
  <si>
    <t>Como un administrador del servicio, necesito que el panel de administración y el registro de psicólogos exijan autenticación, con la finalidad de que solo personal autorizado cree especialistas y modifique suscripciones</t>
  </si>
  <si>
    <t>Proteger panel admin</t>
  </si>
  <si>
    <t>Pendiente: agregar login o clave al panel de administración</t>
  </si>
  <si>
    <t>HU-HABI-0001</t>
  </si>
  <si>
    <t>Como un paciente, necesito registrar cada día mis seis hábitos (comida, ejercicio, hidratación, sueño, ansiedad y estrés), con la finalidad de dar seguimiento a mi bienestar</t>
  </si>
  <si>
    <t>Registro diario de hábitos</t>
  </si>
  <si>
    <t>Los seis hábitos se guardan una vez al día</t>
  </si>
  <si>
    <t>HU-HABI-0002</t>
  </si>
  <si>
    <t>Como un paciente, necesito indicar los litros de agua y las horas de sueño, con la finalidad de que mi registro sea más preciso</t>
  </si>
  <si>
    <t>Datos específicos</t>
  </si>
  <si>
    <t>Cambio respecto al plan inicial, que usaba solo una escala</t>
  </si>
  <si>
    <t>HU-HABI-0003</t>
  </si>
  <si>
    <t>Como un paciente, necesito ver cuántos hábitos llevo registrados hoy, con la finalidad de saber cuánto me falta por completar</t>
  </si>
  <si>
    <t>Avance del día</t>
  </si>
  <si>
    <t>Muestra el avance en formato n/6</t>
  </si>
  <si>
    <t>HU-HABI-0004</t>
  </si>
  <si>
    <t>Como un paciente, necesito que, una vez registrados los hábitos del día, no se puedan duplicar, con la finalidad de mantener un registro consistente</t>
  </si>
  <si>
    <t>Registro único diario</t>
  </si>
  <si>
    <t>También se bloquea en el servidor</t>
  </si>
  <si>
    <t>HU-EJER-0001</t>
  </si>
  <si>
    <t>Como un paciente, necesito acceder a ejercicios de respiración y relajación para ansiedad, sueño y estrés, con la finalidad de trabajar mis hábitos entre sesiones</t>
  </si>
  <si>
    <t>Ejercicios por hábito</t>
  </si>
  <si>
    <t>Parcial</t>
  </si>
  <si>
    <t>Cubre ansiedad, sueño y estrés</t>
  </si>
  <si>
    <t>HU-EJER-0002</t>
  </si>
  <si>
    <t>Como un paciente, necesito ver videos de ejemplo de cada ejercicio, con la finalidad de realizarlos correctamente</t>
  </si>
  <si>
    <t>Videos de ejemplo</t>
  </si>
  <si>
    <t>Falta cargar los videos reales (hoy son de ejemplo)</t>
  </si>
  <si>
    <t>HU-EJER-0003</t>
  </si>
  <si>
    <t>Como un paciente, necesito que H.O.P.E. me recomiende ejercicios y respiraciones, con la finalidad de manejar mi ansiedad o estrés en el momento</t>
  </si>
  <si>
    <t>Recomendación por H.O.P.E.</t>
  </si>
  <si>
    <t>Depende de H.O.P.E.</t>
  </si>
  <si>
    <t>HU-SESI-0001</t>
  </si>
  <si>
    <t>Como un paciente, necesito ver mis próximas citas y mi historial de sesiones, con la finalidad de organizar mi proceso terapéutico</t>
  </si>
  <si>
    <t>Mis citas e historial</t>
  </si>
  <si>
    <t>Muestra las próximas citas y el historial</t>
  </si>
  <si>
    <t>HU-SESI-0002</t>
  </si>
  <si>
    <t>Como un paciente, necesito recibir recordatorios de mis citas, con la finalidad de no olvidar mis sesiones</t>
  </si>
  <si>
    <t>Recordatorios de citas</t>
  </si>
  <si>
    <t>Lo menciona el resumen de la Fase 2, esta pendiente</t>
  </si>
  <si>
    <t>HU-PERF-0001</t>
  </si>
  <si>
    <t>Como un paciente, necesito ver mi perfil y mi psicólogo asignado, con la finalidad de conocer mis datos y quién atiende mi caso</t>
  </si>
  <si>
    <t>Perfil del paciente</t>
  </si>
  <si>
    <t>Baja</t>
  </si>
  <si>
    <t>Muestra los datos personales del paciente</t>
  </si>
  <si>
    <t>HU-HOPE-0001</t>
  </si>
  <si>
    <t>Como un paciente, necesito una pantalla de conversación con H.O.P.E., con la finalidad de acceder al apoyo entre sesiones</t>
  </si>
  <si>
    <t>Pantalla de chat</t>
  </si>
  <si>
    <t>Solo la pantalla; falta conectar el modelo de IA</t>
  </si>
  <si>
    <t>HU-HOPE-0002</t>
  </si>
  <si>
    <t>Como un paciente, necesito que H.O.P.E. me responda usando un modelo de inteligencia artificial, con la finalidad de recibir acompañamiento entre sesiones</t>
  </si>
  <si>
    <t>Respuestas con IA</t>
  </si>
  <si>
    <t>Plan original: Gemini Nano</t>
  </si>
  <si>
    <t>HU-HOPE-0003</t>
  </si>
  <si>
    <t>Como un paciente, necesito que H.O.P.E. responda dentro de instrucciones y límites definidos, con la finalidad de recibir apoyo seguro que no reemplaza a mi psicólogo</t>
  </si>
  <si>
    <t>Límites del agente</t>
  </si>
  <si>
    <t>Objetivo específico 7 de la Fase 1</t>
  </si>
  <si>
    <t>HU-HOPE-0004</t>
  </si>
  <si>
    <t>Como un paciente, necesito poder hablar con H.O.P.E. desde el registro de mis hábitos, con la finalidad de pedir apoyo cuando lo estime conveniente</t>
  </si>
  <si>
    <t>Acceso desde hábitos</t>
  </si>
  <si>
    <t>Planteado en el Resumen Inicial</t>
  </si>
  <si>
    <t>HU-ALER-0001</t>
  </si>
  <si>
    <t>Como un paciente, necesito recibir un aviso de H.O.P.E. cuando un hábito esté en nivel bajo dos días seguidos, con la finalidad de detectar a tiempo un cambio en mi bienestar</t>
  </si>
  <si>
    <t>Alerta por hábito bajo</t>
  </si>
  <si>
    <t>Objetivo específico 6 de la Fase 1; aún no implementado</t>
  </si>
  <si>
    <t>HU-ALER-0002</t>
  </si>
  <si>
    <t>Como un psicólogo, necesito ver los cambios relevantes detectados en los hábitos de mis pacientes, con la finalidad de intervenir oportunamente</t>
  </si>
  <si>
    <t>Cambios relevantes</t>
  </si>
  <si>
    <t>Depende de la alerta y del dashboard</t>
  </si>
  <si>
    <t>HU-PACI-0001</t>
  </si>
  <si>
    <t>Como un psicólogo, necesito registrar a un paciente y verificar si ya existe, con la finalidad de evitar duplicados y asociarlo a mi atención</t>
  </si>
  <si>
    <t>Registro de paciente</t>
  </si>
  <si>
    <t>Verifica si el paciente ya existe</t>
  </si>
  <si>
    <t>HU-PACI-0002</t>
  </si>
  <si>
    <t>Como un psicólogo, necesito ver el listado de mis pacientes y abrir su ficha, con la finalidad de gestionar mi atención</t>
  </si>
  <si>
    <t>Mis pacientes</t>
  </si>
  <si>
    <t>Los más recientes aparecen primero</t>
  </si>
  <si>
    <t>HU-PACI-0003</t>
  </si>
  <si>
    <t>Como un psicólogo, necesito ver mis pacientes ordenados alfabéticamente, con la finalidad de encontrarlos más rápido</t>
  </si>
  <si>
    <t>Orden alfabético</t>
  </si>
  <si>
    <t>Orden alfabético por nombre y apellidos, con letras de grupo (A, B, C…) desde 8 pacientes</t>
  </si>
  <si>
    <t>HU-PACI-0004</t>
  </si>
  <si>
    <t>Como un psicólogo, necesito ver la ficha de un paciente con sus datos y edad, con la finalidad de conocer su información antes de la sesión</t>
  </si>
  <si>
    <t>Ficha del paciente</t>
  </si>
  <si>
    <t>La edad se calcula automáticamente</t>
  </si>
  <si>
    <t>HU-PACI-0005</t>
  </si>
  <si>
    <t>Como un psicólogo, necesito ver la agenda del día en mi pantalla de inicio, con la finalidad de planificar mi jornada</t>
  </si>
  <si>
    <t>Agenda del día</t>
  </si>
  <si>
    <t>Aparece en la pestaña de inicio</t>
  </si>
  <si>
    <t>HU-PACI-0006</t>
  </si>
  <si>
    <t>Como un psicólogo, necesito vincular a un paciente que ya está registrado, como suplente temporal o titular permanente, con la finalidad de continuar su atención sin duplicar sus datos</t>
  </si>
  <si>
    <t>Vincular paciente registrado</t>
  </si>
  <si>
    <t>Requiere un código de autorización (Ley N° 21.719); permite agendar la primera sesión</t>
  </si>
  <si>
    <t>HU-AGEN-0001</t>
  </si>
  <si>
    <t>Como un psicólogo, necesito agendar una sesión indicando fecha, hora, duración, modalidad y observaciones, con la finalidad de programar la atención de mis pacientes</t>
  </si>
  <si>
    <t>Agendar sesión</t>
  </si>
  <si>
    <t>Duración de 30 a 90 minutos, presencial u online</t>
  </si>
  <si>
    <t>HU-AGEN-0002</t>
  </si>
  <si>
    <t>Como un psicólogo, necesito que la app no me deje elegir fechas u horas pasadas ni fechas a más de 6 meses, con la finalidad de evitar errores al agendar</t>
  </si>
  <si>
    <t>Validar fecha y hora</t>
  </si>
  <si>
    <t>La hora se elige después de la fecha</t>
  </si>
  <si>
    <t>HU-AGEN-0003</t>
  </si>
  <si>
    <t>Como un psicólogo, necesito que la app no permita agendar sesiones que se crucen con otras, con la finalidad de mantener una agenda confiable</t>
  </si>
  <si>
    <t>Evitar choques de horario</t>
  </si>
  <si>
    <t>Se valida en la app al elegir la hora</t>
  </si>
  <si>
    <t>HU-AGEN-0004</t>
  </si>
  <si>
    <t>Como un psicólogo, necesito ver un calendario clínico semanal con mis citas, con la finalidad de revisar sesiones actuales y futuras</t>
  </si>
  <si>
    <t>Calendario clínico</t>
  </si>
  <si>
    <t>Vista semanal de las citas</t>
  </si>
  <si>
    <t>HU-AGEN-0005</t>
  </si>
  <si>
    <t>Como un psicólogo, necesito modificar la fecha u hora de una sesión, con la finalidad de reprogramar cuando sea necesario</t>
  </si>
  <si>
    <t>Reprogramar sesión</t>
  </si>
  <si>
    <t>Se hace desde el historial del paciente</t>
  </si>
  <si>
    <t>HU-AGEN-0006</t>
  </si>
  <si>
    <t>Como un psicólogo, necesito cancelar una sesión programada, con la finalidad de liberar el horario cuando no se realizará</t>
  </si>
  <si>
    <t>Cancelar sesión</t>
  </si>
  <si>
    <t>Solo sesiones en estado programada</t>
  </si>
  <si>
    <t>HU-AGEN-0007</t>
  </si>
  <si>
    <t xml:space="preserve">Como un psicólogo, necesito revisar el historial de sesiones de un paciente por páginas, con la finalidad de consultar su atención sin una lista muy larga
</t>
  </si>
  <si>
    <t>Historial paginado</t>
  </si>
  <si>
    <t>3 sesiones por página</t>
  </si>
  <si>
    <t>HU-PERF-0002</t>
  </si>
  <si>
    <t>Como un psicólogo, necesito ver mi perfil y el estado de mi suscripción, con la finalidad de saber si mi cuenta está activa</t>
  </si>
  <si>
    <t>Perfil del psicólogo</t>
  </si>
  <si>
    <t>Muestra el estado de la suscripción</t>
  </si>
  <si>
    <t>HU-DASH-0001</t>
  </si>
  <si>
    <t>Como un psicólogo, necesito un dashboard con los hábitos de cada paciente, con la fecha de cada registro, con la finalidad de analizar su evolución entre sesiones</t>
  </si>
  <si>
    <t>Dashboard de hábitos</t>
  </si>
  <si>
    <t>Informe visual con gráficos de línea; se abre desde la ficha del paciente</t>
  </si>
  <si>
    <t>HU-DASH-0002</t>
  </si>
  <si>
    <t>Como un psicólogo, necesito elegir el rango de días o fechas específicas del dashboard y ver los promedios, con la finalidad de revisar el período que me interesa</t>
  </si>
  <si>
    <t>Rango de fechas</t>
  </si>
  <si>
    <t>Filtros por semana, mes, 3 y 6 meses, año y rango personalizado; muestra promedios</t>
  </si>
  <si>
    <t>HU-DASH-0003</t>
  </si>
  <si>
    <t>Como un psicólogo, necesito consultar las conversaciones del paciente con H.O.P.E., con su consentimiento, con la finalidad de complementar el seguimiento</t>
  </si>
  <si>
    <t>Conversaciones con H.O.P.E.</t>
  </si>
  <si>
    <t>Requiere el consentimiento del paciente</t>
  </si>
  <si>
    <t>HU-ADMI-0001</t>
  </si>
  <si>
    <t>Como un administrador, necesito registrar a un nuevo psicólogo desde una página web, con la finalidad de dar de alta a los especialistas</t>
  </si>
  <si>
    <t>Registro de psicólogos</t>
  </si>
  <si>
    <t>Se hace desde una página web aparte</t>
  </si>
  <si>
    <t>HU-ADMI-0002</t>
  </si>
  <si>
    <t>Como un administrador, necesito ver a los psicólogos y actualizar su suscripción desde una página web, con la finalidad de controlar quién puede usar la plataforma</t>
  </si>
  <si>
    <t>Gestión de suscripciones</t>
  </si>
  <si>
    <t>HU-TEST-0001</t>
  </si>
  <si>
    <t>Como un equipo de desarrollo, necesito probar y corregir las funcionalidades, con la finalidad de verificar el cumplimiento de los requerimientos</t>
  </si>
  <si>
    <t>Pruebas funcionales y de integración</t>
  </si>
  <si>
    <t>En curso</t>
  </si>
  <si>
    <t>Sprint 7; el repositorio aún no incluye carpeta de pruebas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</si>
</sst>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6.0"/>
      <color theme="1"/>
      <name val="Calibri"/>
    </font>
    <font>
      <sz val="11.0"/>
      <color theme="1"/>
      <name val="Calibri"/>
    </font>
    <font>
      <b/>
      <sz val="11.0"/>
      <color rgb="FFFFFFFF"/>
      <name val="Calibri"/>
    </font>
    <font>
      <b/>
      <sz val="28.0"/>
      <color theme="1"/>
      <name val="Calibri"/>
    </font>
    <font>
      <b/>
      <sz val="11.0"/>
      <color theme="1"/>
      <name val="Calibri"/>
    </font>
    <font>
      <b/>
      <sz val="16.0"/>
      <color rgb="FF1F497D"/>
      <name val="Calibri"/>
    </font>
    <font>
      <sz val="11.0"/>
      <color theme="0"/>
      <name val="Calibri"/>
    </font>
    <font>
      <b/>
      <sz val="12.0"/>
      <color theme="1"/>
      <name val="Calibri"/>
    </font>
    <font>
      <sz val="11.0"/>
      <color rgb="FFFFFFFF"/>
      <name val="Calibri"/>
    </font>
    <font>
      <sz val="11.0"/>
      <color theme="1"/>
      <name val="Arial"/>
    </font>
    <font>
      <sz val="11.0"/>
      <color rgb="FF000000"/>
      <name val="Arial"/>
    </font>
    <font>
      <sz val="11.0"/>
      <color rgb="FF000000"/>
      <name val="Calibri"/>
    </font>
  </fonts>
  <fills count="9">
    <fill>
      <patternFill patternType="none"/>
    </fill>
    <fill>
      <patternFill patternType="lightGray"/>
    </fill>
    <fill>
      <patternFill patternType="solid">
        <fgColor theme="0"/>
        <bgColor theme="0"/>
      </patternFill>
    </fill>
    <fill>
      <patternFill patternType="solid">
        <fgColor rgb="FF1F4E79"/>
        <bgColor rgb="FF1F4E79"/>
      </patternFill>
    </fill>
    <fill>
      <patternFill patternType="solid">
        <fgColor rgb="FF1F497D"/>
        <bgColor rgb="FF1F497D"/>
      </patternFill>
    </fill>
    <fill>
      <patternFill patternType="solid">
        <fgColor rgb="FFC6EFCE"/>
        <bgColor rgb="FFC6EFCE"/>
      </patternFill>
    </fill>
    <fill>
      <patternFill patternType="solid">
        <fgColor rgb="FFF8CBAD"/>
        <bgColor rgb="FFF8CBAD"/>
      </patternFill>
    </fill>
    <fill>
      <patternFill patternType="solid">
        <fgColor rgb="FFFFEB9C"/>
        <bgColor rgb="FFFFEB9C"/>
      </patternFill>
    </fill>
    <fill>
      <patternFill patternType="solid">
        <fgColor rgb="FFBDD7EE"/>
        <bgColor rgb="FFBDD7EE"/>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top" wrapText="1"/>
    </xf>
    <xf borderId="1" fillId="2" fontId="2" numFmtId="0" xfId="0" applyAlignment="1" applyBorder="1" applyFill="1" applyFont="1">
      <alignment shrinkToFit="0" vertical="bottom" wrapText="0"/>
    </xf>
    <xf borderId="2" fillId="3" fontId="3" numFmtId="0" xfId="0" applyAlignment="1" applyBorder="1" applyFill="1" applyFont="1">
      <alignment horizontal="center" shrinkToFit="0" vertical="center" wrapText="1"/>
    </xf>
    <xf borderId="1" fillId="2" fontId="4" numFmtId="0" xfId="0" applyAlignment="1" applyBorder="1" applyFill="1" applyFont="1">
      <alignment shrinkToFit="0" vertical="bottom" wrapText="0"/>
    </xf>
    <xf borderId="2" fillId="0" fontId="5" numFmtId="0" xfId="0" applyAlignment="1" applyBorder="1" applyFont="1">
      <alignment horizontal="center" shrinkToFit="0" vertical="top" wrapText="1"/>
    </xf>
    <xf borderId="2" fillId="0" fontId="2" numFmtId="0" xfId="0" applyAlignment="1" applyBorder="1" applyFont="1">
      <alignment horizontal="left" shrinkToFit="0" vertical="top" wrapText="1"/>
    </xf>
    <xf borderId="1" fillId="2" fontId="6" numFmtId="0" xfId="0" applyAlignment="1" applyBorder="1" applyFill="1" applyFont="1">
      <alignment shrinkToFit="0" vertical="bottom" wrapText="0"/>
    </xf>
    <xf borderId="3" fillId="4" fontId="7" numFmtId="0" xfId="0" applyAlignment="1" applyBorder="1" applyFill="1" applyFont="1">
      <alignment shrinkToFit="0" vertical="bottom" wrapText="0"/>
    </xf>
    <xf borderId="0" fillId="0" fontId="8" numFmtId="0" xfId="0" applyAlignment="1" applyFont="1">
      <alignment shrinkToFit="0" vertical="bottom" wrapText="0"/>
    </xf>
    <xf borderId="3" fillId="2" fontId="2" numFmtId="0" xfId="0" applyAlignment="1" applyBorder="1" applyFill="1" applyFont="1">
      <alignment horizontal="left" shrinkToFit="0" vertical="top" wrapText="1"/>
    </xf>
    <xf borderId="2" fillId="0" fontId="2" numFmtId="0" xfId="0" applyAlignment="1" applyBorder="1" applyFont="1">
      <alignment horizontal="center" shrinkToFit="0" vertical="top" wrapText="1"/>
    </xf>
    <xf borderId="4" fillId="4" fontId="7" numFmtId="0" xfId="0" applyAlignment="1" applyBorder="1" applyFill="1" applyFont="1">
      <alignment horizontal="center" shrinkToFit="0" vertical="center" wrapText="1"/>
    </xf>
    <xf borderId="4" fillId="4" fontId="9" numFmtId="0" xfId="0" applyAlignment="1" applyBorder="1" applyFill="1" applyFont="1">
      <alignment horizontal="center" shrinkToFit="0" vertical="center" wrapText="1"/>
    </xf>
    <xf borderId="5" fillId="0" fontId="10" numFmtId="0" xfId="0" applyAlignment="1" applyBorder="1" applyFont="1">
      <alignment horizontal="left" shrinkToFit="0" vertical="top" wrapText="0"/>
    </xf>
    <xf borderId="5" fillId="0" fontId="11" numFmtId="0" xfId="0" applyAlignment="1" applyBorder="1" applyFont="1">
      <alignment horizontal="left" shrinkToFit="0" vertical="top" wrapText="1"/>
    </xf>
    <xf borderId="2" fillId="0" fontId="10" numFmtId="0" xfId="0" applyAlignment="1" applyBorder="1" applyFont="1">
      <alignment horizontal="left" shrinkToFit="0" vertical="top" wrapText="0"/>
    </xf>
    <xf borderId="2" fillId="5" fontId="10" numFmtId="0" xfId="0" applyAlignment="1" applyBorder="1" applyFill="1" applyFont="1">
      <alignment horizontal="center" shrinkToFit="0" vertical="top" wrapText="0"/>
    </xf>
    <xf borderId="2" fillId="0" fontId="10" numFmtId="0" xfId="0" applyAlignment="1" applyBorder="1" applyFont="1">
      <alignment horizontal="center" shrinkToFit="0" vertical="top" wrapText="0"/>
    </xf>
    <xf borderId="5" fillId="2" fontId="12" numFmtId="0" xfId="0" applyAlignment="1" applyBorder="1" applyFill="1" applyFont="1">
      <alignment horizontal="left" shrinkToFit="0" vertical="top" wrapText="1"/>
    </xf>
    <xf borderId="2" fillId="6" fontId="10" numFmtId="0" xfId="0" applyAlignment="1" applyBorder="1" applyFill="1" applyFont="1">
      <alignment horizontal="center" shrinkToFit="0" vertical="top" wrapText="0"/>
    </xf>
    <xf borderId="2" fillId="7" fontId="10" numFmtId="0" xfId="0" applyAlignment="1" applyBorder="1" applyFill="1" applyFont="1">
      <alignment horizontal="center" shrinkToFit="0" vertical="top" wrapText="0"/>
    </xf>
    <xf borderId="2" fillId="0" fontId="10" numFmtId="0" xfId="0" applyAlignment="1" applyBorder="1" applyFont="1">
      <alignment horizontal="left" shrinkToFit="0" vertical="top" wrapText="1"/>
    </xf>
    <xf borderId="2" fillId="8" fontId="10" numFmtId="0" xfId="0" applyAlignment="1" applyBorder="1" applyFill="1" applyFont="1">
      <alignment horizontal="center"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71"/>
    <col customWidth="1" min="3" max="3" width="88.71"/>
    <col customWidth="1" min="4" max="4" width="27.57"/>
    <col customWidth="1" min="5" max="5" width="10.57"/>
    <col customWidth="1" min="6" max="6" width="11.86"/>
    <col customWidth="1" min="7" max="7" width="16.14"/>
    <col customWidth="1" min="8" max="8" width="17.86"/>
    <col customWidth="1" min="9" max="9" width="85.71"/>
    <col customWidth="1" min="10" max="26" width="10.71"/>
  </cols>
  <sheetData>
    <row r="1" ht="33.75" customHeight="1">
      <c r="A1" s="4"/>
      <c r="B1" s="6" t="s">
        <v>6</v>
      </c>
      <c r="C1" s="4"/>
      <c r="D1" s="4"/>
      <c r="E1" s="4"/>
      <c r="F1" s="4"/>
      <c r="G1" s="4"/>
      <c r="H1" s="4"/>
      <c r="I1" s="4"/>
      <c r="J1" s="4"/>
      <c r="K1" s="4"/>
      <c r="L1" s="4"/>
      <c r="M1" s="4"/>
      <c r="N1" s="4"/>
      <c r="O1" s="4"/>
      <c r="P1" s="4"/>
      <c r="Q1" s="4"/>
      <c r="R1" s="4"/>
      <c r="S1" s="4"/>
      <c r="T1" s="4"/>
      <c r="U1" s="4"/>
      <c r="V1" s="4"/>
      <c r="W1" s="4"/>
      <c r="X1" s="4"/>
      <c r="Y1" s="4"/>
      <c r="Z1" s="4"/>
    </row>
    <row r="2" ht="19.5" customHeight="1">
      <c r="A2" s="4"/>
      <c r="B2" s="9" t="s">
        <v>9</v>
      </c>
      <c r="C2" s="4"/>
      <c r="D2" s="4"/>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27.75" customHeight="1">
      <c r="A4" s="4"/>
      <c r="B4" s="14" t="s">
        <v>26</v>
      </c>
      <c r="C4" s="14" t="s">
        <v>31</v>
      </c>
      <c r="D4" s="14" t="s">
        <v>34</v>
      </c>
      <c r="E4" s="15" t="s">
        <v>36</v>
      </c>
      <c r="F4" s="14" t="s">
        <v>38</v>
      </c>
      <c r="G4" s="14" t="s">
        <v>40</v>
      </c>
      <c r="H4" s="14" t="s">
        <v>42</v>
      </c>
      <c r="I4" s="14" t="s">
        <v>44</v>
      </c>
      <c r="J4" s="4"/>
      <c r="K4" s="4"/>
      <c r="L4" s="4"/>
      <c r="M4" s="4"/>
      <c r="N4" s="4"/>
      <c r="O4" s="4"/>
      <c r="P4" s="4"/>
      <c r="Q4" s="4"/>
      <c r="R4" s="4"/>
      <c r="S4" s="4"/>
      <c r="T4" s="4"/>
      <c r="U4" s="4"/>
      <c r="V4" s="4"/>
      <c r="W4" s="4"/>
      <c r="X4" s="4"/>
      <c r="Y4" s="4"/>
      <c r="Z4" s="4"/>
    </row>
    <row r="5" ht="26.25" customHeight="1">
      <c r="A5" s="4"/>
      <c r="B5" s="16" t="s">
        <v>46</v>
      </c>
      <c r="C5" s="17" t="s">
        <v>47</v>
      </c>
      <c r="D5" s="18" t="s">
        <v>48</v>
      </c>
      <c r="E5" s="19" t="s">
        <v>49</v>
      </c>
      <c r="F5" s="20">
        <v>5.0</v>
      </c>
      <c r="G5" s="20">
        <v>3.0</v>
      </c>
      <c r="H5" s="20" t="s">
        <v>50</v>
      </c>
      <c r="I5" s="18" t="s">
        <v>51</v>
      </c>
      <c r="J5" s="4"/>
      <c r="K5" s="4"/>
      <c r="L5" s="4"/>
      <c r="M5" s="4"/>
      <c r="N5" s="4"/>
      <c r="O5" s="4"/>
      <c r="P5" s="4"/>
      <c r="Q5" s="4"/>
      <c r="R5" s="4"/>
      <c r="S5" s="4"/>
      <c r="T5" s="4"/>
      <c r="U5" s="4"/>
      <c r="V5" s="4"/>
      <c r="W5" s="4"/>
      <c r="X5" s="4"/>
      <c r="Y5" s="4"/>
      <c r="Z5" s="4"/>
    </row>
    <row r="6" ht="27.75" customHeight="1">
      <c r="A6" s="4"/>
      <c r="B6" s="16" t="s">
        <v>52</v>
      </c>
      <c r="C6" s="17" t="s">
        <v>53</v>
      </c>
      <c r="D6" s="21" t="s">
        <v>54</v>
      </c>
      <c r="E6" s="19" t="s">
        <v>49</v>
      </c>
      <c r="F6" s="20">
        <v>2.0</v>
      </c>
      <c r="G6" s="20">
        <v>3.0</v>
      </c>
      <c r="H6" s="20" t="s">
        <v>55</v>
      </c>
      <c r="I6" s="18" t="s">
        <v>56</v>
      </c>
      <c r="J6" s="4"/>
      <c r="K6" s="4"/>
      <c r="L6" s="4"/>
      <c r="M6" s="4"/>
      <c r="N6" s="4"/>
      <c r="O6" s="4"/>
      <c r="P6" s="4"/>
      <c r="Q6" s="4"/>
      <c r="R6" s="4"/>
      <c r="S6" s="4"/>
      <c r="T6" s="4"/>
      <c r="U6" s="4"/>
      <c r="V6" s="4"/>
      <c r="W6" s="4"/>
      <c r="X6" s="4"/>
      <c r="Y6" s="4"/>
      <c r="Z6" s="4"/>
    </row>
    <row r="7" ht="26.25" customHeight="1">
      <c r="A7" s="4"/>
      <c r="B7" s="16" t="s">
        <v>58</v>
      </c>
      <c r="C7" s="17" t="s">
        <v>59</v>
      </c>
      <c r="D7" s="18" t="s">
        <v>60</v>
      </c>
      <c r="E7" s="19" t="s">
        <v>49</v>
      </c>
      <c r="F7" s="20">
        <v>5.0</v>
      </c>
      <c r="G7" s="20">
        <v>3.0</v>
      </c>
      <c r="H7" s="20" t="s">
        <v>50</v>
      </c>
      <c r="I7" s="18" t="s">
        <v>61</v>
      </c>
      <c r="J7" s="4"/>
      <c r="K7" s="4"/>
      <c r="L7" s="4"/>
      <c r="M7" s="4"/>
      <c r="N7" s="4"/>
      <c r="O7" s="4"/>
      <c r="P7" s="4"/>
      <c r="Q7" s="4"/>
      <c r="R7" s="4"/>
      <c r="S7" s="4"/>
      <c r="T7" s="4"/>
      <c r="U7" s="4"/>
      <c r="V7" s="4"/>
      <c r="W7" s="4"/>
      <c r="X7" s="4"/>
      <c r="Y7" s="4"/>
      <c r="Z7" s="4"/>
    </row>
    <row r="8" ht="26.25" customHeight="1">
      <c r="A8" s="4"/>
      <c r="B8" s="16" t="s">
        <v>62</v>
      </c>
      <c r="C8" s="17" t="s">
        <v>63</v>
      </c>
      <c r="D8" s="18" t="s">
        <v>64</v>
      </c>
      <c r="E8" s="19" t="s">
        <v>49</v>
      </c>
      <c r="F8" s="20">
        <v>3.0</v>
      </c>
      <c r="G8" s="20">
        <v>3.0</v>
      </c>
      <c r="H8" s="20" t="s">
        <v>50</v>
      </c>
      <c r="I8" s="18" t="s">
        <v>65</v>
      </c>
      <c r="J8" s="4"/>
      <c r="K8" s="4"/>
      <c r="L8" s="4"/>
      <c r="M8" s="4"/>
      <c r="N8" s="4"/>
      <c r="O8" s="4"/>
      <c r="P8" s="4"/>
      <c r="Q8" s="4"/>
      <c r="R8" s="4"/>
      <c r="S8" s="4"/>
      <c r="T8" s="4"/>
      <c r="U8" s="4"/>
      <c r="V8" s="4"/>
      <c r="W8" s="4"/>
      <c r="X8" s="4"/>
      <c r="Y8" s="4"/>
      <c r="Z8" s="4"/>
    </row>
    <row r="9" ht="26.25" customHeight="1">
      <c r="A9" s="4"/>
      <c r="B9" s="16" t="s">
        <v>66</v>
      </c>
      <c r="C9" s="17" t="s">
        <v>67</v>
      </c>
      <c r="D9" s="18" t="s">
        <v>68</v>
      </c>
      <c r="E9" s="19" t="s">
        <v>49</v>
      </c>
      <c r="F9" s="20">
        <v>5.0</v>
      </c>
      <c r="G9" s="20">
        <v>3.0</v>
      </c>
      <c r="H9" s="20" t="s">
        <v>55</v>
      </c>
      <c r="I9" s="18" t="s">
        <v>70</v>
      </c>
      <c r="J9" s="4"/>
      <c r="K9" s="4"/>
      <c r="L9" s="4"/>
      <c r="M9" s="4"/>
      <c r="N9" s="4"/>
      <c r="O9" s="4"/>
      <c r="P9" s="4"/>
      <c r="Q9" s="4"/>
      <c r="R9" s="4"/>
      <c r="S9" s="4"/>
      <c r="T9" s="4"/>
      <c r="U9" s="4"/>
      <c r="V9" s="4"/>
      <c r="W9" s="4"/>
      <c r="X9" s="4"/>
      <c r="Y9" s="4"/>
      <c r="Z9" s="4"/>
    </row>
    <row r="10" ht="26.25" customHeight="1">
      <c r="A10" s="4"/>
      <c r="B10" s="16" t="s">
        <v>71</v>
      </c>
      <c r="C10" s="17" t="s">
        <v>72</v>
      </c>
      <c r="D10" s="18" t="s">
        <v>73</v>
      </c>
      <c r="E10" s="19" t="s">
        <v>49</v>
      </c>
      <c r="F10" s="20">
        <v>5.0</v>
      </c>
      <c r="G10" s="20">
        <v>5.0</v>
      </c>
      <c r="H10" s="20" t="s">
        <v>55</v>
      </c>
      <c r="I10" s="18" t="s">
        <v>74</v>
      </c>
      <c r="J10" s="4"/>
      <c r="K10" s="4"/>
      <c r="L10" s="4"/>
      <c r="M10" s="4"/>
      <c r="N10" s="4"/>
      <c r="O10" s="4"/>
      <c r="P10" s="4"/>
      <c r="Q10" s="4"/>
      <c r="R10" s="4"/>
      <c r="S10" s="4"/>
      <c r="T10" s="4"/>
      <c r="U10" s="4"/>
      <c r="V10" s="4"/>
      <c r="W10" s="4"/>
      <c r="X10" s="4"/>
      <c r="Y10" s="4"/>
      <c r="Z10" s="4"/>
    </row>
    <row r="11" ht="26.25" customHeight="1">
      <c r="A11" s="4"/>
      <c r="B11" s="16" t="s">
        <v>75</v>
      </c>
      <c r="C11" s="17" t="s">
        <v>76</v>
      </c>
      <c r="D11" s="18" t="s">
        <v>77</v>
      </c>
      <c r="E11" s="19" t="s">
        <v>49</v>
      </c>
      <c r="F11" s="20">
        <v>1.0</v>
      </c>
      <c r="G11" s="20">
        <v>3.0</v>
      </c>
      <c r="H11" s="20" t="s">
        <v>55</v>
      </c>
      <c r="I11" s="18" t="s">
        <v>78</v>
      </c>
      <c r="J11" s="4"/>
      <c r="K11" s="4"/>
      <c r="L11" s="4"/>
      <c r="M11" s="4"/>
      <c r="N11" s="4"/>
      <c r="O11" s="4"/>
      <c r="P11" s="4"/>
      <c r="Q11" s="4"/>
      <c r="R11" s="4"/>
      <c r="S11" s="4"/>
      <c r="T11" s="4"/>
      <c r="U11" s="4"/>
      <c r="V11" s="4"/>
      <c r="W11" s="4"/>
      <c r="X11" s="4"/>
      <c r="Y11" s="4"/>
      <c r="Z11" s="4"/>
    </row>
    <row r="12" ht="26.25" customHeight="1">
      <c r="A12" s="4"/>
      <c r="B12" s="16" t="s">
        <v>79</v>
      </c>
      <c r="C12" s="17" t="s">
        <v>80</v>
      </c>
      <c r="D12" s="18" t="s">
        <v>81</v>
      </c>
      <c r="E12" s="19" t="s">
        <v>49</v>
      </c>
      <c r="F12" s="20">
        <v>3.0</v>
      </c>
      <c r="G12" s="20">
        <v>3.0</v>
      </c>
      <c r="H12" s="20" t="s">
        <v>55</v>
      </c>
      <c r="I12" s="18" t="s">
        <v>82</v>
      </c>
      <c r="J12" s="4"/>
      <c r="K12" s="4"/>
      <c r="L12" s="4"/>
      <c r="M12" s="4"/>
      <c r="N12" s="4"/>
      <c r="O12" s="4"/>
      <c r="P12" s="4"/>
      <c r="Q12" s="4"/>
      <c r="R12" s="4"/>
      <c r="S12" s="4"/>
      <c r="T12" s="4"/>
      <c r="U12" s="4"/>
      <c r="V12" s="4"/>
      <c r="W12" s="4"/>
      <c r="X12" s="4"/>
      <c r="Y12" s="4"/>
      <c r="Z12" s="4"/>
    </row>
    <row r="13" ht="26.25" customHeight="1">
      <c r="A13" s="4"/>
      <c r="B13" s="16" t="s">
        <v>83</v>
      </c>
      <c r="C13" s="17" t="s">
        <v>84</v>
      </c>
      <c r="D13" s="18" t="s">
        <v>85</v>
      </c>
      <c r="E13" s="19" t="s">
        <v>49</v>
      </c>
      <c r="F13" s="20">
        <v>3.0</v>
      </c>
      <c r="G13" s="20">
        <v>3.0</v>
      </c>
      <c r="H13" s="20" t="s">
        <v>50</v>
      </c>
      <c r="I13" s="18" t="s">
        <v>86</v>
      </c>
      <c r="J13" s="4"/>
      <c r="K13" s="4"/>
      <c r="L13" s="4"/>
      <c r="M13" s="4"/>
      <c r="N13" s="4"/>
      <c r="O13" s="4"/>
      <c r="P13" s="4"/>
      <c r="Q13" s="4"/>
      <c r="R13" s="4"/>
      <c r="S13" s="4"/>
      <c r="T13" s="4"/>
      <c r="U13" s="4"/>
      <c r="V13" s="4"/>
      <c r="W13" s="4"/>
      <c r="X13" s="4"/>
      <c r="Y13" s="4"/>
      <c r="Z13" s="4"/>
    </row>
    <row r="14" ht="26.25" customHeight="1">
      <c r="A14" s="4"/>
      <c r="B14" s="16" t="s">
        <v>87</v>
      </c>
      <c r="C14" s="17" t="s">
        <v>88</v>
      </c>
      <c r="D14" s="18" t="s">
        <v>89</v>
      </c>
      <c r="E14" s="19" t="s">
        <v>49</v>
      </c>
      <c r="F14" s="20">
        <v>8.0</v>
      </c>
      <c r="G14" s="20">
        <v>3.0</v>
      </c>
      <c r="H14" s="20" t="s">
        <v>50</v>
      </c>
      <c r="I14" s="18" t="s">
        <v>90</v>
      </c>
      <c r="J14" s="4"/>
      <c r="K14" s="4"/>
      <c r="L14" s="4"/>
      <c r="M14" s="4"/>
      <c r="N14" s="4"/>
      <c r="O14" s="4"/>
      <c r="P14" s="4"/>
      <c r="Q14" s="4"/>
      <c r="R14" s="4"/>
      <c r="S14" s="4"/>
      <c r="T14" s="4"/>
      <c r="U14" s="4"/>
      <c r="V14" s="4"/>
      <c r="W14" s="4"/>
      <c r="X14" s="4"/>
      <c r="Y14" s="4"/>
      <c r="Z14" s="4"/>
    </row>
    <row r="15" ht="26.25" customHeight="1">
      <c r="A15" s="4"/>
      <c r="B15" s="16" t="s">
        <v>91</v>
      </c>
      <c r="C15" s="17" t="s">
        <v>92</v>
      </c>
      <c r="D15" s="18" t="s">
        <v>93</v>
      </c>
      <c r="E15" s="19" t="s">
        <v>49</v>
      </c>
      <c r="F15" s="20">
        <v>2.0</v>
      </c>
      <c r="G15" s="20">
        <v>3.0</v>
      </c>
      <c r="H15" s="20" t="s">
        <v>55</v>
      </c>
      <c r="I15" s="18" t="s">
        <v>94</v>
      </c>
      <c r="J15" s="4"/>
      <c r="K15" s="4"/>
      <c r="L15" s="4"/>
      <c r="M15" s="4"/>
      <c r="N15" s="4"/>
      <c r="O15" s="4"/>
      <c r="P15" s="4"/>
      <c r="Q15" s="4"/>
      <c r="R15" s="4"/>
      <c r="S15" s="4"/>
      <c r="T15" s="4"/>
      <c r="U15" s="4"/>
      <c r="V15" s="4"/>
      <c r="W15" s="4"/>
      <c r="X15" s="4"/>
      <c r="Y15" s="4"/>
      <c r="Z15" s="4"/>
    </row>
    <row r="16" ht="26.25" customHeight="1">
      <c r="A16" s="4"/>
      <c r="B16" s="16" t="s">
        <v>95</v>
      </c>
      <c r="C16" s="17" t="s">
        <v>96</v>
      </c>
      <c r="D16" s="18" t="s">
        <v>97</v>
      </c>
      <c r="E16" s="19" t="s">
        <v>49</v>
      </c>
      <c r="F16" s="20">
        <v>5.0</v>
      </c>
      <c r="G16" s="20">
        <v>5.0</v>
      </c>
      <c r="H16" s="20" t="s">
        <v>55</v>
      </c>
      <c r="I16" s="18" t="s">
        <v>98</v>
      </c>
      <c r="J16" s="4"/>
      <c r="K16" s="4"/>
      <c r="L16" s="4"/>
      <c r="M16" s="4"/>
      <c r="N16" s="4"/>
      <c r="O16" s="4"/>
      <c r="P16" s="4"/>
      <c r="Q16" s="4"/>
      <c r="R16" s="4"/>
      <c r="S16" s="4"/>
      <c r="T16" s="4"/>
      <c r="U16" s="4"/>
      <c r="V16" s="4"/>
      <c r="W16" s="4"/>
      <c r="X16" s="4"/>
      <c r="Y16" s="4"/>
      <c r="Z16" s="4"/>
    </row>
    <row r="17" ht="26.25" customHeight="1">
      <c r="A17" s="4"/>
      <c r="B17" s="16" t="s">
        <v>99</v>
      </c>
      <c r="C17" s="17" t="s">
        <v>100</v>
      </c>
      <c r="D17" s="18" t="s">
        <v>101</v>
      </c>
      <c r="E17" s="22" t="s">
        <v>102</v>
      </c>
      <c r="F17" s="20">
        <v>8.0</v>
      </c>
      <c r="G17" s="20">
        <v>6.0</v>
      </c>
      <c r="H17" s="20" t="s">
        <v>55</v>
      </c>
      <c r="I17" s="18" t="s">
        <v>103</v>
      </c>
      <c r="J17" s="4"/>
      <c r="K17" s="4"/>
      <c r="L17" s="4"/>
      <c r="M17" s="4"/>
      <c r="N17" s="4"/>
      <c r="O17" s="4"/>
      <c r="P17" s="4"/>
      <c r="Q17" s="4"/>
      <c r="R17" s="4"/>
      <c r="S17" s="4"/>
      <c r="T17" s="4"/>
      <c r="U17" s="4"/>
      <c r="V17" s="4"/>
      <c r="W17" s="4"/>
      <c r="X17" s="4"/>
      <c r="Y17" s="4"/>
      <c r="Z17" s="4"/>
    </row>
    <row r="18" ht="39.0" customHeight="1">
      <c r="A18" s="4"/>
      <c r="B18" s="16" t="s">
        <v>104</v>
      </c>
      <c r="C18" s="17" t="s">
        <v>105</v>
      </c>
      <c r="D18" s="18" t="s">
        <v>106</v>
      </c>
      <c r="E18" s="22" t="s">
        <v>102</v>
      </c>
      <c r="F18" s="20">
        <v>3.0</v>
      </c>
      <c r="G18" s="20">
        <v>5.0</v>
      </c>
      <c r="H18" s="20" t="s">
        <v>50</v>
      </c>
      <c r="I18" s="18" t="s">
        <v>107</v>
      </c>
      <c r="J18" s="4"/>
      <c r="K18" s="4"/>
      <c r="L18" s="4"/>
      <c r="M18" s="4"/>
      <c r="N18" s="4"/>
      <c r="O18" s="4"/>
      <c r="P18" s="4"/>
      <c r="Q18" s="4"/>
      <c r="R18" s="4"/>
      <c r="S18" s="4"/>
      <c r="T18" s="4"/>
      <c r="U18" s="4"/>
      <c r="V18" s="4"/>
      <c r="W18" s="4"/>
      <c r="X18" s="4"/>
      <c r="Y18" s="4"/>
      <c r="Z18" s="4"/>
    </row>
    <row r="19" ht="26.25" customHeight="1">
      <c r="A19" s="4"/>
      <c r="B19" s="16" t="s">
        <v>108</v>
      </c>
      <c r="C19" s="17" t="s">
        <v>109</v>
      </c>
      <c r="D19" s="18" t="s">
        <v>110</v>
      </c>
      <c r="E19" s="19" t="s">
        <v>49</v>
      </c>
      <c r="F19" s="20">
        <v>8.0</v>
      </c>
      <c r="G19" s="20">
        <v>4.0</v>
      </c>
      <c r="H19" s="20" t="s">
        <v>50</v>
      </c>
      <c r="I19" s="18" t="s">
        <v>111</v>
      </c>
      <c r="J19" s="4"/>
      <c r="K19" s="4"/>
      <c r="L19" s="4"/>
      <c r="M19" s="4"/>
      <c r="N19" s="4"/>
      <c r="O19" s="4"/>
      <c r="P19" s="4"/>
      <c r="Q19" s="4"/>
      <c r="R19" s="4"/>
      <c r="S19" s="4"/>
      <c r="T19" s="4"/>
      <c r="U19" s="4"/>
      <c r="V19" s="4"/>
      <c r="W19" s="4"/>
      <c r="X19" s="4"/>
      <c r="Y19" s="4"/>
      <c r="Z19" s="4"/>
    </row>
    <row r="20" ht="26.25" customHeight="1">
      <c r="A20" s="4"/>
      <c r="B20" s="16" t="s">
        <v>112</v>
      </c>
      <c r="C20" s="17" t="s">
        <v>113</v>
      </c>
      <c r="D20" s="18" t="s">
        <v>114</v>
      </c>
      <c r="E20" s="19" t="s">
        <v>49</v>
      </c>
      <c r="F20" s="20">
        <v>2.0</v>
      </c>
      <c r="G20" s="20">
        <v>4.0</v>
      </c>
      <c r="H20" s="20" t="s">
        <v>55</v>
      </c>
      <c r="I20" s="18" t="s">
        <v>115</v>
      </c>
      <c r="J20" s="4"/>
      <c r="K20" s="4"/>
      <c r="L20" s="4"/>
      <c r="M20" s="4"/>
      <c r="N20" s="4"/>
      <c r="O20" s="4"/>
      <c r="P20" s="4"/>
      <c r="Q20" s="4"/>
      <c r="R20" s="4"/>
      <c r="S20" s="4"/>
      <c r="T20" s="4"/>
      <c r="U20" s="4"/>
      <c r="V20" s="4"/>
      <c r="W20" s="4"/>
      <c r="X20" s="4"/>
      <c r="Y20" s="4"/>
      <c r="Z20" s="4"/>
    </row>
    <row r="21">
      <c r="A21" s="4"/>
      <c r="B21" s="16" t="s">
        <v>116</v>
      </c>
      <c r="C21" s="17" t="s">
        <v>117</v>
      </c>
      <c r="D21" s="18" t="s">
        <v>118</v>
      </c>
      <c r="E21" s="19" t="s">
        <v>49</v>
      </c>
      <c r="F21" s="20">
        <v>2.0</v>
      </c>
      <c r="G21" s="20">
        <v>4.0</v>
      </c>
      <c r="H21" s="20" t="s">
        <v>55</v>
      </c>
      <c r="I21" s="18" t="s">
        <v>119</v>
      </c>
      <c r="J21" s="4"/>
      <c r="K21" s="4"/>
      <c r="L21" s="4"/>
      <c r="M21" s="4"/>
      <c r="N21" s="4"/>
      <c r="O21" s="4"/>
      <c r="P21" s="4"/>
      <c r="Q21" s="4"/>
      <c r="R21" s="4"/>
      <c r="S21" s="4"/>
      <c r="T21" s="4"/>
      <c r="U21" s="4"/>
      <c r="V21" s="4"/>
      <c r="W21" s="4"/>
      <c r="X21" s="4"/>
      <c r="Y21" s="4"/>
      <c r="Z21" s="4"/>
    </row>
    <row r="22">
      <c r="A22" s="4"/>
      <c r="B22" s="16" t="s">
        <v>120</v>
      </c>
      <c r="C22" s="17" t="s">
        <v>121</v>
      </c>
      <c r="D22" s="18" t="s">
        <v>122</v>
      </c>
      <c r="E22" s="19" t="s">
        <v>49</v>
      </c>
      <c r="F22" s="20">
        <v>2.0</v>
      </c>
      <c r="G22" s="20">
        <v>4.0</v>
      </c>
      <c r="H22" s="20" t="s">
        <v>55</v>
      </c>
      <c r="I22" s="18" t="s">
        <v>123</v>
      </c>
      <c r="J22" s="4"/>
      <c r="K22" s="4"/>
      <c r="L22" s="4"/>
      <c r="M22" s="4"/>
      <c r="N22" s="4"/>
      <c r="O22" s="4"/>
      <c r="P22" s="4"/>
      <c r="Q22" s="4"/>
      <c r="R22" s="4"/>
      <c r="S22" s="4"/>
      <c r="T22" s="4"/>
      <c r="U22" s="4"/>
      <c r="V22" s="4"/>
      <c r="W22" s="4"/>
      <c r="X22" s="4"/>
      <c r="Y22" s="4"/>
      <c r="Z22" s="4"/>
    </row>
    <row r="23">
      <c r="A23" s="4"/>
      <c r="B23" s="16" t="s">
        <v>124</v>
      </c>
      <c r="C23" s="17" t="s">
        <v>125</v>
      </c>
      <c r="D23" s="18" t="s">
        <v>126</v>
      </c>
      <c r="E23" s="23" t="s">
        <v>127</v>
      </c>
      <c r="F23" s="20">
        <v>3.0</v>
      </c>
      <c r="G23" s="20">
        <v>4.0</v>
      </c>
      <c r="H23" s="20" t="s">
        <v>55</v>
      </c>
      <c r="I23" s="18" t="s">
        <v>128</v>
      </c>
      <c r="J23" s="4"/>
      <c r="K23" s="4"/>
      <c r="L23" s="4"/>
      <c r="M23" s="4"/>
      <c r="N23" s="4"/>
      <c r="O23" s="4"/>
      <c r="P23" s="4"/>
      <c r="Q23" s="4"/>
      <c r="R23" s="4"/>
      <c r="S23" s="4"/>
      <c r="T23" s="4"/>
      <c r="U23" s="4"/>
      <c r="V23" s="4"/>
      <c r="W23" s="4"/>
      <c r="X23" s="4"/>
      <c r="Y23" s="4"/>
      <c r="Z23" s="4"/>
    </row>
    <row r="24">
      <c r="A24" s="4"/>
      <c r="B24" s="16" t="s">
        <v>129</v>
      </c>
      <c r="C24" s="17" t="s">
        <v>130</v>
      </c>
      <c r="D24" s="18" t="s">
        <v>131</v>
      </c>
      <c r="E24" s="23" t="s">
        <v>127</v>
      </c>
      <c r="F24" s="20">
        <v>3.0</v>
      </c>
      <c r="G24" s="20">
        <v>4.0</v>
      </c>
      <c r="H24" s="20" t="s">
        <v>55</v>
      </c>
      <c r="I24" s="18" t="s">
        <v>132</v>
      </c>
      <c r="J24" s="4"/>
      <c r="K24" s="4"/>
      <c r="L24" s="4"/>
      <c r="M24" s="4"/>
      <c r="N24" s="4"/>
      <c r="O24" s="4"/>
      <c r="P24" s="4"/>
      <c r="Q24" s="4"/>
      <c r="R24" s="4"/>
      <c r="S24" s="4"/>
      <c r="T24" s="4"/>
      <c r="U24" s="4"/>
      <c r="V24" s="4"/>
      <c r="W24" s="4"/>
      <c r="X24" s="4"/>
      <c r="Y24" s="4"/>
      <c r="Z24" s="4"/>
    </row>
    <row r="25">
      <c r="A25" s="4"/>
      <c r="B25" s="16" t="s">
        <v>133</v>
      </c>
      <c r="C25" s="17" t="s">
        <v>134</v>
      </c>
      <c r="D25" s="24" t="s">
        <v>135</v>
      </c>
      <c r="E25" s="22" t="s">
        <v>102</v>
      </c>
      <c r="F25" s="20">
        <v>5.0</v>
      </c>
      <c r="G25" s="20">
        <v>6.0</v>
      </c>
      <c r="H25" s="20" t="s">
        <v>55</v>
      </c>
      <c r="I25" s="18" t="s">
        <v>136</v>
      </c>
      <c r="J25" s="4"/>
      <c r="K25" s="4"/>
      <c r="L25" s="4"/>
      <c r="M25" s="4"/>
      <c r="N25" s="4"/>
      <c r="O25" s="4"/>
      <c r="P25" s="4"/>
      <c r="Q25" s="4"/>
      <c r="R25" s="4"/>
      <c r="S25" s="4"/>
      <c r="T25" s="4"/>
      <c r="U25" s="4"/>
      <c r="V25" s="4"/>
      <c r="W25" s="4"/>
      <c r="X25" s="4"/>
      <c r="Y25" s="4"/>
      <c r="Z25" s="4"/>
    </row>
    <row r="26">
      <c r="A26" s="4"/>
      <c r="B26" s="16" t="s">
        <v>137</v>
      </c>
      <c r="C26" s="17" t="s">
        <v>138</v>
      </c>
      <c r="D26" s="18" t="s">
        <v>139</v>
      </c>
      <c r="E26" s="19" t="s">
        <v>49</v>
      </c>
      <c r="F26" s="20">
        <v>3.0</v>
      </c>
      <c r="G26" s="20">
        <v>4.0</v>
      </c>
      <c r="H26" s="20" t="s">
        <v>50</v>
      </c>
      <c r="I26" s="18" t="s">
        <v>140</v>
      </c>
      <c r="J26" s="4"/>
      <c r="K26" s="4"/>
      <c r="L26" s="4"/>
      <c r="M26" s="4"/>
      <c r="N26" s="4"/>
      <c r="O26" s="4"/>
      <c r="P26" s="4"/>
      <c r="Q26" s="4"/>
      <c r="R26" s="4"/>
      <c r="S26" s="4"/>
      <c r="T26" s="4"/>
      <c r="U26" s="4"/>
      <c r="V26" s="4"/>
      <c r="W26" s="4"/>
      <c r="X26" s="4"/>
      <c r="Y26" s="4"/>
      <c r="Z26" s="4"/>
    </row>
    <row r="27">
      <c r="A27" s="4"/>
      <c r="B27" s="16" t="s">
        <v>141</v>
      </c>
      <c r="C27" s="17" t="s">
        <v>142</v>
      </c>
      <c r="D27" s="18" t="s">
        <v>143</v>
      </c>
      <c r="E27" s="22" t="s">
        <v>102</v>
      </c>
      <c r="F27" s="20">
        <v>8.0</v>
      </c>
      <c r="G27" s="20">
        <v>4.0</v>
      </c>
      <c r="H27" s="20" t="s">
        <v>55</v>
      </c>
      <c r="I27" s="18" t="s">
        <v>144</v>
      </c>
      <c r="J27" s="4"/>
      <c r="K27" s="4"/>
      <c r="L27" s="4"/>
      <c r="M27" s="4"/>
      <c r="N27" s="4"/>
      <c r="O27" s="4"/>
      <c r="P27" s="4"/>
      <c r="Q27" s="4"/>
      <c r="R27" s="4"/>
      <c r="S27" s="4"/>
      <c r="T27" s="4"/>
      <c r="U27" s="4"/>
      <c r="V27" s="4"/>
      <c r="W27" s="4"/>
      <c r="X27" s="4"/>
      <c r="Y27" s="4"/>
      <c r="Z27" s="4"/>
    </row>
    <row r="28">
      <c r="A28" s="4"/>
      <c r="B28" s="16" t="s">
        <v>145</v>
      </c>
      <c r="C28" s="17" t="s">
        <v>146</v>
      </c>
      <c r="D28" s="18" t="s">
        <v>147</v>
      </c>
      <c r="E28" s="19" t="s">
        <v>49</v>
      </c>
      <c r="F28" s="20">
        <v>2.0</v>
      </c>
      <c r="G28" s="20">
        <v>4.0</v>
      </c>
      <c r="H28" s="20" t="s">
        <v>148</v>
      </c>
      <c r="I28" s="18" t="s">
        <v>149</v>
      </c>
      <c r="J28" s="4"/>
      <c r="K28" s="4"/>
      <c r="L28" s="4"/>
      <c r="M28" s="4"/>
      <c r="N28" s="4"/>
      <c r="O28" s="4"/>
      <c r="P28" s="4"/>
      <c r="Q28" s="4"/>
      <c r="R28" s="4"/>
      <c r="S28" s="4"/>
      <c r="T28" s="4"/>
      <c r="U28" s="4"/>
      <c r="V28" s="4"/>
      <c r="W28" s="4"/>
      <c r="X28" s="4"/>
      <c r="Y28" s="4"/>
      <c r="Z28" s="4"/>
    </row>
    <row r="29">
      <c r="A29" s="4"/>
      <c r="B29" s="16" t="s">
        <v>150</v>
      </c>
      <c r="C29" s="17" t="s">
        <v>151</v>
      </c>
      <c r="D29" s="18" t="s">
        <v>152</v>
      </c>
      <c r="E29" s="23" t="s">
        <v>127</v>
      </c>
      <c r="F29" s="20">
        <v>3.0</v>
      </c>
      <c r="G29" s="20">
        <v>6.0</v>
      </c>
      <c r="H29" s="20" t="s">
        <v>50</v>
      </c>
      <c r="I29" s="18" t="s">
        <v>153</v>
      </c>
      <c r="J29" s="4"/>
      <c r="K29" s="4"/>
      <c r="L29" s="4"/>
      <c r="M29" s="4"/>
      <c r="N29" s="4"/>
      <c r="O29" s="4"/>
      <c r="P29" s="4"/>
      <c r="Q29" s="4"/>
      <c r="R29" s="4"/>
      <c r="S29" s="4"/>
      <c r="T29" s="4"/>
      <c r="U29" s="4"/>
      <c r="V29" s="4"/>
      <c r="W29" s="4"/>
      <c r="X29" s="4"/>
      <c r="Y29" s="4"/>
      <c r="Z29" s="4"/>
    </row>
    <row r="30">
      <c r="A30" s="4"/>
      <c r="B30" s="16" t="s">
        <v>154</v>
      </c>
      <c r="C30" s="17" t="s">
        <v>155</v>
      </c>
      <c r="D30" s="18" t="s">
        <v>156</v>
      </c>
      <c r="E30" s="22" t="s">
        <v>102</v>
      </c>
      <c r="F30" s="20">
        <v>13.0</v>
      </c>
      <c r="G30" s="20">
        <v>6.0</v>
      </c>
      <c r="H30" s="20" t="s">
        <v>50</v>
      </c>
      <c r="I30" s="18" t="s">
        <v>157</v>
      </c>
      <c r="J30" s="4"/>
      <c r="K30" s="4"/>
      <c r="L30" s="4"/>
      <c r="M30" s="4"/>
      <c r="N30" s="4"/>
      <c r="O30" s="4"/>
      <c r="P30" s="4"/>
      <c r="Q30" s="4"/>
      <c r="R30" s="4"/>
      <c r="S30" s="4"/>
      <c r="T30" s="4"/>
      <c r="U30" s="4"/>
      <c r="V30" s="4"/>
      <c r="W30" s="4"/>
      <c r="X30" s="4"/>
      <c r="Y30" s="4"/>
      <c r="Z30" s="4"/>
    </row>
    <row r="31">
      <c r="A31" s="4"/>
      <c r="B31" s="16" t="s">
        <v>158</v>
      </c>
      <c r="C31" s="17" t="s">
        <v>159</v>
      </c>
      <c r="D31" s="18" t="s">
        <v>160</v>
      </c>
      <c r="E31" s="22" t="s">
        <v>102</v>
      </c>
      <c r="F31" s="20">
        <v>5.0</v>
      </c>
      <c r="G31" s="20">
        <v>6.0</v>
      </c>
      <c r="H31" s="20" t="s">
        <v>50</v>
      </c>
      <c r="I31" s="18" t="s">
        <v>161</v>
      </c>
      <c r="J31" s="4"/>
      <c r="K31" s="4"/>
      <c r="L31" s="4"/>
      <c r="M31" s="4"/>
      <c r="N31" s="4"/>
      <c r="O31" s="4"/>
      <c r="P31" s="4"/>
      <c r="Q31" s="4"/>
      <c r="R31" s="4"/>
      <c r="S31" s="4"/>
      <c r="T31" s="4"/>
      <c r="U31" s="4"/>
      <c r="V31" s="4"/>
      <c r="W31" s="4"/>
      <c r="X31" s="4"/>
      <c r="Y31" s="4"/>
      <c r="Z31" s="4"/>
    </row>
    <row r="32">
      <c r="A32" s="4"/>
      <c r="B32" s="16" t="s">
        <v>162</v>
      </c>
      <c r="C32" s="17" t="s">
        <v>163</v>
      </c>
      <c r="D32" s="18" t="s">
        <v>164</v>
      </c>
      <c r="E32" s="22" t="s">
        <v>102</v>
      </c>
      <c r="F32" s="20">
        <v>2.0</v>
      </c>
      <c r="G32" s="20">
        <v>6.0</v>
      </c>
      <c r="H32" s="20" t="s">
        <v>55</v>
      </c>
      <c r="I32" s="18" t="s">
        <v>165</v>
      </c>
      <c r="J32" s="4"/>
      <c r="K32" s="4"/>
      <c r="L32" s="4"/>
      <c r="M32" s="4"/>
      <c r="N32" s="4"/>
      <c r="O32" s="4"/>
      <c r="P32" s="4"/>
      <c r="Q32" s="4"/>
      <c r="R32" s="4"/>
      <c r="S32" s="4"/>
      <c r="T32" s="4"/>
      <c r="U32" s="4"/>
      <c r="V32" s="4"/>
      <c r="W32" s="4"/>
      <c r="X32" s="4"/>
      <c r="Y32" s="4"/>
      <c r="Z32" s="4"/>
    </row>
    <row r="33">
      <c r="A33" s="4"/>
      <c r="B33" s="16" t="s">
        <v>166</v>
      </c>
      <c r="C33" s="17" t="s">
        <v>167</v>
      </c>
      <c r="D33" s="18" t="s">
        <v>168</v>
      </c>
      <c r="E33" s="22" t="s">
        <v>102</v>
      </c>
      <c r="F33" s="20">
        <v>8.0</v>
      </c>
      <c r="G33" s="20" t="s">
        <v>57</v>
      </c>
      <c r="H33" s="20" t="s">
        <v>50</v>
      </c>
      <c r="I33" s="18" t="s">
        <v>169</v>
      </c>
      <c r="J33" s="4"/>
      <c r="K33" s="4"/>
      <c r="L33" s="4"/>
      <c r="M33" s="4"/>
      <c r="N33" s="4"/>
      <c r="O33" s="4"/>
      <c r="P33" s="4"/>
      <c r="Q33" s="4"/>
      <c r="R33" s="4"/>
      <c r="S33" s="4"/>
      <c r="T33" s="4"/>
      <c r="U33" s="4"/>
      <c r="V33" s="4"/>
      <c r="W33" s="4"/>
      <c r="X33" s="4"/>
      <c r="Y33" s="4"/>
      <c r="Z33" s="4"/>
    </row>
    <row r="34">
      <c r="A34" s="4"/>
      <c r="B34" s="16" t="s">
        <v>170</v>
      </c>
      <c r="C34" s="17" t="s">
        <v>171</v>
      </c>
      <c r="D34" s="18" t="s">
        <v>172</v>
      </c>
      <c r="E34" s="22" t="s">
        <v>102</v>
      </c>
      <c r="F34" s="20">
        <v>5.0</v>
      </c>
      <c r="G34" s="20" t="s">
        <v>57</v>
      </c>
      <c r="H34" s="20" t="s">
        <v>55</v>
      </c>
      <c r="I34" s="18" t="s">
        <v>173</v>
      </c>
      <c r="J34" s="4"/>
      <c r="K34" s="4"/>
      <c r="L34" s="4"/>
      <c r="M34" s="4"/>
      <c r="N34" s="4"/>
      <c r="O34" s="4"/>
      <c r="P34" s="4"/>
      <c r="Q34" s="4"/>
      <c r="R34" s="4"/>
      <c r="S34" s="4"/>
      <c r="T34" s="4"/>
      <c r="U34" s="4"/>
      <c r="V34" s="4"/>
      <c r="W34" s="4"/>
      <c r="X34" s="4"/>
      <c r="Y34" s="4"/>
      <c r="Z34" s="4"/>
    </row>
    <row r="35">
      <c r="A35" s="4"/>
      <c r="B35" s="16" t="s">
        <v>174</v>
      </c>
      <c r="C35" s="17" t="s">
        <v>175</v>
      </c>
      <c r="D35" s="18" t="s">
        <v>176</v>
      </c>
      <c r="E35" s="19" t="s">
        <v>49</v>
      </c>
      <c r="F35" s="20">
        <v>5.0</v>
      </c>
      <c r="G35" s="20">
        <v>5.0</v>
      </c>
      <c r="H35" s="20" t="s">
        <v>50</v>
      </c>
      <c r="I35" s="18" t="s">
        <v>177</v>
      </c>
      <c r="J35" s="4"/>
      <c r="K35" s="4"/>
      <c r="L35" s="4"/>
      <c r="M35" s="4"/>
      <c r="N35" s="4"/>
      <c r="O35" s="4"/>
      <c r="P35" s="4"/>
      <c r="Q35" s="4"/>
      <c r="R35" s="4"/>
      <c r="S35" s="4"/>
      <c r="T35" s="4"/>
      <c r="U35" s="4"/>
      <c r="V35" s="4"/>
      <c r="W35" s="4"/>
      <c r="X35" s="4"/>
      <c r="Y35" s="4"/>
      <c r="Z35" s="4"/>
    </row>
    <row r="36">
      <c r="A36" s="4"/>
      <c r="B36" s="16" t="s">
        <v>178</v>
      </c>
      <c r="C36" s="17" t="s">
        <v>179</v>
      </c>
      <c r="D36" s="18" t="s">
        <v>180</v>
      </c>
      <c r="E36" s="19" t="s">
        <v>49</v>
      </c>
      <c r="F36" s="20">
        <v>3.0</v>
      </c>
      <c r="G36" s="20">
        <v>5.0</v>
      </c>
      <c r="H36" s="20" t="s">
        <v>50</v>
      </c>
      <c r="I36" s="18" t="s">
        <v>181</v>
      </c>
      <c r="J36" s="4"/>
      <c r="K36" s="4"/>
      <c r="L36" s="4"/>
      <c r="M36" s="4"/>
      <c r="N36" s="4"/>
      <c r="O36" s="4"/>
      <c r="P36" s="4"/>
      <c r="Q36" s="4"/>
      <c r="R36" s="4"/>
      <c r="S36" s="4"/>
      <c r="T36" s="4"/>
      <c r="U36" s="4"/>
      <c r="V36" s="4"/>
      <c r="W36" s="4"/>
      <c r="X36" s="4"/>
      <c r="Y36" s="4"/>
      <c r="Z36" s="4"/>
    </row>
    <row r="37">
      <c r="A37" s="4"/>
      <c r="B37" s="16" t="s">
        <v>182</v>
      </c>
      <c r="C37" s="17" t="s">
        <v>183</v>
      </c>
      <c r="D37" s="18" t="s">
        <v>184</v>
      </c>
      <c r="E37" s="19" t="s">
        <v>49</v>
      </c>
      <c r="F37" s="20">
        <v>1.0</v>
      </c>
      <c r="G37" s="20">
        <v>5.0</v>
      </c>
      <c r="H37" s="20" t="s">
        <v>148</v>
      </c>
      <c r="I37" s="18" t="s">
        <v>185</v>
      </c>
      <c r="J37" s="4"/>
      <c r="K37" s="4"/>
      <c r="L37" s="4"/>
      <c r="M37" s="4"/>
      <c r="N37" s="4"/>
      <c r="O37" s="4"/>
      <c r="P37" s="4"/>
      <c r="Q37" s="4"/>
      <c r="R37" s="4"/>
      <c r="S37" s="4"/>
      <c r="T37" s="4"/>
      <c r="U37" s="4"/>
      <c r="V37" s="4"/>
      <c r="W37" s="4"/>
      <c r="X37" s="4"/>
      <c r="Y37" s="4"/>
      <c r="Z37" s="4"/>
    </row>
    <row r="38">
      <c r="A38" s="4"/>
      <c r="B38" s="16" t="s">
        <v>186</v>
      </c>
      <c r="C38" s="17" t="s">
        <v>187</v>
      </c>
      <c r="D38" s="18" t="s">
        <v>188</v>
      </c>
      <c r="E38" s="19" t="s">
        <v>49</v>
      </c>
      <c r="F38" s="20">
        <v>3.0</v>
      </c>
      <c r="G38" s="20">
        <v>5.0</v>
      </c>
      <c r="H38" s="20" t="s">
        <v>50</v>
      </c>
      <c r="I38" s="18" t="s">
        <v>189</v>
      </c>
      <c r="J38" s="4"/>
      <c r="K38" s="4"/>
      <c r="L38" s="4"/>
      <c r="M38" s="4"/>
      <c r="N38" s="4"/>
      <c r="O38" s="4"/>
      <c r="P38" s="4"/>
      <c r="Q38" s="4"/>
      <c r="R38" s="4"/>
      <c r="S38" s="4"/>
      <c r="T38" s="4"/>
      <c r="U38" s="4"/>
      <c r="V38" s="4"/>
      <c r="W38" s="4"/>
      <c r="X38" s="4"/>
      <c r="Y38" s="4"/>
      <c r="Z38" s="4"/>
    </row>
    <row r="39">
      <c r="A39" s="4"/>
      <c r="B39" s="16" t="s">
        <v>190</v>
      </c>
      <c r="C39" s="17" t="s">
        <v>191</v>
      </c>
      <c r="D39" s="18" t="s">
        <v>192</v>
      </c>
      <c r="E39" s="19" t="s">
        <v>49</v>
      </c>
      <c r="F39" s="20">
        <v>3.0</v>
      </c>
      <c r="G39" s="20">
        <v>5.0</v>
      </c>
      <c r="H39" s="20" t="s">
        <v>55</v>
      </c>
      <c r="I39" s="18" t="s">
        <v>193</v>
      </c>
      <c r="J39" s="4"/>
      <c r="K39" s="4"/>
      <c r="L39" s="4"/>
      <c r="M39" s="4"/>
      <c r="N39" s="4"/>
      <c r="O39" s="4"/>
      <c r="P39" s="4"/>
      <c r="Q39" s="4"/>
      <c r="R39" s="4"/>
      <c r="S39" s="4"/>
      <c r="T39" s="4"/>
      <c r="U39" s="4"/>
      <c r="V39" s="4"/>
      <c r="W39" s="4"/>
      <c r="X39" s="4"/>
      <c r="Y39" s="4"/>
      <c r="Z39" s="4"/>
    </row>
    <row r="40">
      <c r="A40" s="4"/>
      <c r="B40" s="16" t="s">
        <v>194</v>
      </c>
      <c r="C40" s="17" t="s">
        <v>195</v>
      </c>
      <c r="D40" s="18" t="s">
        <v>196</v>
      </c>
      <c r="E40" s="19" t="s">
        <v>49</v>
      </c>
      <c r="F40" s="20">
        <v>8.0</v>
      </c>
      <c r="G40" s="20">
        <v>5.0</v>
      </c>
      <c r="H40" s="20" t="s">
        <v>55</v>
      </c>
      <c r="I40" s="18" t="s">
        <v>197</v>
      </c>
      <c r="J40" s="4"/>
      <c r="K40" s="4"/>
      <c r="L40" s="4"/>
      <c r="M40" s="4"/>
      <c r="N40" s="4"/>
      <c r="O40" s="4"/>
      <c r="P40" s="4"/>
      <c r="Q40" s="4"/>
      <c r="R40" s="4"/>
      <c r="S40" s="4"/>
      <c r="T40" s="4"/>
      <c r="U40" s="4"/>
      <c r="V40" s="4"/>
      <c r="W40" s="4"/>
      <c r="X40" s="4"/>
      <c r="Y40" s="4"/>
      <c r="Z40" s="4"/>
    </row>
    <row r="41">
      <c r="A41" s="4"/>
      <c r="B41" s="16" t="s">
        <v>198</v>
      </c>
      <c r="C41" s="17" t="s">
        <v>199</v>
      </c>
      <c r="D41" s="18" t="s">
        <v>200</v>
      </c>
      <c r="E41" s="19" t="s">
        <v>49</v>
      </c>
      <c r="F41" s="20">
        <v>8.0</v>
      </c>
      <c r="G41" s="20">
        <v>5.0</v>
      </c>
      <c r="H41" s="20" t="s">
        <v>50</v>
      </c>
      <c r="I41" s="18" t="s">
        <v>201</v>
      </c>
      <c r="J41" s="4"/>
      <c r="K41" s="4"/>
      <c r="L41" s="4"/>
      <c r="M41" s="4"/>
      <c r="N41" s="4"/>
      <c r="O41" s="4"/>
      <c r="P41" s="4"/>
      <c r="Q41" s="4"/>
      <c r="R41" s="4"/>
      <c r="S41" s="4"/>
      <c r="T41" s="4"/>
      <c r="U41" s="4"/>
      <c r="V41" s="4"/>
      <c r="W41" s="4"/>
      <c r="X41" s="4"/>
      <c r="Y41" s="4"/>
      <c r="Z41" s="4"/>
    </row>
    <row r="42">
      <c r="A42" s="4"/>
      <c r="B42" s="16" t="s">
        <v>202</v>
      </c>
      <c r="C42" s="17" t="s">
        <v>203</v>
      </c>
      <c r="D42" s="18" t="s">
        <v>204</v>
      </c>
      <c r="E42" s="19" t="s">
        <v>49</v>
      </c>
      <c r="F42" s="20">
        <v>5.0</v>
      </c>
      <c r="G42" s="20">
        <v>5.0</v>
      </c>
      <c r="H42" s="20" t="s">
        <v>50</v>
      </c>
      <c r="I42" s="18" t="s">
        <v>205</v>
      </c>
      <c r="J42" s="4"/>
      <c r="K42" s="4"/>
      <c r="L42" s="4"/>
      <c r="M42" s="4"/>
      <c r="N42" s="4"/>
      <c r="O42" s="4"/>
      <c r="P42" s="4"/>
      <c r="Q42" s="4"/>
      <c r="R42" s="4"/>
      <c r="S42" s="4"/>
      <c r="T42" s="4"/>
      <c r="U42" s="4"/>
      <c r="V42" s="4"/>
      <c r="W42" s="4"/>
      <c r="X42" s="4"/>
      <c r="Y42" s="4"/>
      <c r="Z42" s="4"/>
    </row>
    <row r="43">
      <c r="A43" s="4"/>
      <c r="B43" s="16" t="s">
        <v>206</v>
      </c>
      <c r="C43" s="17" t="s">
        <v>207</v>
      </c>
      <c r="D43" s="18" t="s">
        <v>208</v>
      </c>
      <c r="E43" s="19" t="s">
        <v>49</v>
      </c>
      <c r="F43" s="20">
        <v>5.0</v>
      </c>
      <c r="G43" s="20">
        <v>5.0</v>
      </c>
      <c r="H43" s="20" t="s">
        <v>50</v>
      </c>
      <c r="I43" s="18" t="s">
        <v>209</v>
      </c>
      <c r="J43" s="4"/>
      <c r="K43" s="4"/>
      <c r="L43" s="4"/>
      <c r="M43" s="4"/>
      <c r="N43" s="4"/>
      <c r="O43" s="4"/>
      <c r="P43" s="4"/>
      <c r="Q43" s="4"/>
      <c r="R43" s="4"/>
      <c r="S43" s="4"/>
      <c r="T43" s="4"/>
      <c r="U43" s="4"/>
      <c r="V43" s="4"/>
      <c r="W43" s="4"/>
      <c r="X43" s="4"/>
      <c r="Y43" s="4"/>
      <c r="Z43" s="4"/>
    </row>
    <row r="44">
      <c r="A44" s="4"/>
      <c r="B44" s="16" t="s">
        <v>210</v>
      </c>
      <c r="C44" s="17" t="s">
        <v>211</v>
      </c>
      <c r="D44" s="18" t="s">
        <v>212</v>
      </c>
      <c r="E44" s="19" t="s">
        <v>49</v>
      </c>
      <c r="F44" s="20">
        <v>8.0</v>
      </c>
      <c r="G44" s="20">
        <v>5.0</v>
      </c>
      <c r="H44" s="20" t="s">
        <v>50</v>
      </c>
      <c r="I44" s="18" t="s">
        <v>213</v>
      </c>
      <c r="J44" s="4"/>
      <c r="K44" s="4"/>
      <c r="L44" s="4"/>
      <c r="M44" s="4"/>
      <c r="N44" s="4"/>
      <c r="O44" s="4"/>
      <c r="P44" s="4"/>
      <c r="Q44" s="4"/>
      <c r="R44" s="4"/>
      <c r="S44" s="4"/>
      <c r="T44" s="4"/>
      <c r="U44" s="4"/>
      <c r="V44" s="4"/>
      <c r="W44" s="4"/>
      <c r="X44" s="4"/>
      <c r="Y44" s="4"/>
      <c r="Z44" s="4"/>
    </row>
    <row r="45">
      <c r="A45" s="4"/>
      <c r="B45" s="16" t="s">
        <v>214</v>
      </c>
      <c r="C45" s="17" t="s">
        <v>215</v>
      </c>
      <c r="D45" s="18" t="s">
        <v>216</v>
      </c>
      <c r="E45" s="19" t="s">
        <v>49</v>
      </c>
      <c r="F45" s="20">
        <v>5.0</v>
      </c>
      <c r="G45" s="20">
        <v>5.0</v>
      </c>
      <c r="H45" s="20" t="s">
        <v>55</v>
      </c>
      <c r="I45" s="18" t="s">
        <v>217</v>
      </c>
      <c r="J45" s="4"/>
      <c r="K45" s="4"/>
      <c r="L45" s="4"/>
      <c r="M45" s="4"/>
      <c r="N45" s="4"/>
      <c r="O45" s="4"/>
      <c r="P45" s="4"/>
      <c r="Q45" s="4"/>
      <c r="R45" s="4"/>
      <c r="S45" s="4"/>
      <c r="T45" s="4"/>
      <c r="U45" s="4"/>
      <c r="V45" s="4"/>
      <c r="W45" s="4"/>
      <c r="X45" s="4"/>
      <c r="Y45" s="4"/>
      <c r="Z45" s="4"/>
    </row>
    <row r="46">
      <c r="A46" s="4"/>
      <c r="B46" s="16" t="s">
        <v>218</v>
      </c>
      <c r="C46" s="17" t="s">
        <v>219</v>
      </c>
      <c r="D46" s="18" t="s">
        <v>220</v>
      </c>
      <c r="E46" s="19" t="s">
        <v>49</v>
      </c>
      <c r="F46" s="20">
        <v>2.0</v>
      </c>
      <c r="G46" s="20">
        <v>5.0</v>
      </c>
      <c r="H46" s="20" t="s">
        <v>55</v>
      </c>
      <c r="I46" s="18" t="s">
        <v>221</v>
      </c>
      <c r="J46" s="4"/>
      <c r="K46" s="4"/>
      <c r="L46" s="4"/>
      <c r="M46" s="4"/>
      <c r="N46" s="4"/>
      <c r="O46" s="4"/>
      <c r="P46" s="4"/>
      <c r="Q46" s="4"/>
      <c r="R46" s="4"/>
      <c r="S46" s="4"/>
      <c r="T46" s="4"/>
      <c r="U46" s="4"/>
      <c r="V46" s="4"/>
      <c r="W46" s="4"/>
      <c r="X46" s="4"/>
      <c r="Y46" s="4"/>
      <c r="Z46" s="4"/>
    </row>
    <row r="47">
      <c r="A47" s="4"/>
      <c r="B47" s="16" t="s">
        <v>222</v>
      </c>
      <c r="C47" s="17" t="s">
        <v>223</v>
      </c>
      <c r="D47" s="18" t="s">
        <v>224</v>
      </c>
      <c r="E47" s="19" t="s">
        <v>49</v>
      </c>
      <c r="F47" s="20">
        <v>2.0</v>
      </c>
      <c r="G47" s="20">
        <v>5.0</v>
      </c>
      <c r="H47" s="20" t="s">
        <v>148</v>
      </c>
      <c r="I47" s="18" t="s">
        <v>225</v>
      </c>
      <c r="J47" s="4"/>
      <c r="K47" s="4"/>
      <c r="L47" s="4"/>
      <c r="M47" s="4"/>
      <c r="N47" s="4"/>
      <c r="O47" s="4"/>
      <c r="P47" s="4"/>
      <c r="Q47" s="4"/>
      <c r="R47" s="4"/>
      <c r="S47" s="4"/>
      <c r="T47" s="4"/>
      <c r="U47" s="4"/>
      <c r="V47" s="4"/>
      <c r="W47" s="4"/>
      <c r="X47" s="4"/>
      <c r="Y47" s="4"/>
      <c r="Z47" s="4"/>
    </row>
    <row r="48">
      <c r="A48" s="4"/>
      <c r="B48" s="16" t="s">
        <v>226</v>
      </c>
      <c r="C48" s="17" t="s">
        <v>227</v>
      </c>
      <c r="D48" s="18" t="s">
        <v>228</v>
      </c>
      <c r="E48" s="19" t="s">
        <v>49</v>
      </c>
      <c r="F48" s="20">
        <v>2.0</v>
      </c>
      <c r="G48" s="20">
        <v>5.0</v>
      </c>
      <c r="H48" s="20" t="s">
        <v>148</v>
      </c>
      <c r="I48" s="18" t="s">
        <v>229</v>
      </c>
      <c r="J48" s="4"/>
      <c r="K48" s="4"/>
      <c r="L48" s="4"/>
      <c r="M48" s="4"/>
      <c r="N48" s="4"/>
      <c r="O48" s="4"/>
      <c r="P48" s="4"/>
      <c r="Q48" s="4"/>
      <c r="R48" s="4"/>
      <c r="S48" s="4"/>
      <c r="T48" s="4"/>
      <c r="U48" s="4"/>
      <c r="V48" s="4"/>
      <c r="W48" s="4"/>
      <c r="X48" s="4"/>
      <c r="Y48" s="4"/>
      <c r="Z48" s="4"/>
    </row>
    <row r="49">
      <c r="A49" s="4"/>
      <c r="B49" s="16" t="s">
        <v>230</v>
      </c>
      <c r="C49" s="17" t="s">
        <v>231</v>
      </c>
      <c r="D49" s="18" t="s">
        <v>232</v>
      </c>
      <c r="E49" s="19" t="s">
        <v>49</v>
      </c>
      <c r="F49" s="20">
        <v>13.0</v>
      </c>
      <c r="G49" s="20">
        <v>5.0</v>
      </c>
      <c r="H49" s="20" t="s">
        <v>50</v>
      </c>
      <c r="I49" s="18" t="s">
        <v>233</v>
      </c>
      <c r="J49" s="4"/>
      <c r="K49" s="4"/>
      <c r="L49" s="4"/>
      <c r="M49" s="4"/>
      <c r="N49" s="4"/>
      <c r="O49" s="4"/>
      <c r="P49" s="4"/>
      <c r="Q49" s="4"/>
      <c r="R49" s="4"/>
      <c r="S49" s="4"/>
      <c r="T49" s="4"/>
      <c r="U49" s="4"/>
      <c r="V49" s="4"/>
      <c r="W49" s="4"/>
      <c r="X49" s="4"/>
      <c r="Y49" s="4"/>
      <c r="Z49" s="4"/>
    </row>
    <row r="50">
      <c r="A50" s="4"/>
      <c r="B50" s="16" t="s">
        <v>234</v>
      </c>
      <c r="C50" s="17" t="s">
        <v>235</v>
      </c>
      <c r="D50" s="18" t="s">
        <v>236</v>
      </c>
      <c r="E50" s="19" t="s">
        <v>49</v>
      </c>
      <c r="F50" s="20">
        <v>5.0</v>
      </c>
      <c r="G50" s="20">
        <v>5.0</v>
      </c>
      <c r="H50" s="20" t="s">
        <v>55</v>
      </c>
      <c r="I50" s="18" t="s">
        <v>237</v>
      </c>
      <c r="J50" s="4"/>
      <c r="K50" s="4"/>
      <c r="L50" s="4"/>
      <c r="M50" s="4"/>
      <c r="N50" s="4"/>
      <c r="O50" s="4"/>
      <c r="P50" s="4"/>
      <c r="Q50" s="4"/>
      <c r="R50" s="4"/>
      <c r="S50" s="4"/>
      <c r="T50" s="4"/>
      <c r="U50" s="4"/>
      <c r="V50" s="4"/>
      <c r="W50" s="4"/>
      <c r="X50" s="4"/>
      <c r="Y50" s="4"/>
      <c r="Z50" s="4"/>
    </row>
    <row r="51">
      <c r="A51" s="4"/>
      <c r="B51" s="16" t="s">
        <v>238</v>
      </c>
      <c r="C51" s="17" t="s">
        <v>239</v>
      </c>
      <c r="D51" s="24" t="s">
        <v>240</v>
      </c>
      <c r="E51" s="22" t="s">
        <v>102</v>
      </c>
      <c r="F51" s="20">
        <v>8.0</v>
      </c>
      <c r="G51" s="20">
        <v>6.0</v>
      </c>
      <c r="H51" s="20" t="s">
        <v>55</v>
      </c>
      <c r="I51" s="18" t="s">
        <v>241</v>
      </c>
      <c r="J51" s="4"/>
      <c r="K51" s="4"/>
      <c r="L51" s="4"/>
      <c r="M51" s="4"/>
      <c r="N51" s="4"/>
      <c r="O51" s="4"/>
      <c r="P51" s="4"/>
      <c r="Q51" s="4"/>
      <c r="R51" s="4"/>
      <c r="S51" s="4"/>
      <c r="T51" s="4"/>
      <c r="U51" s="4"/>
      <c r="V51" s="4"/>
      <c r="W51" s="4"/>
      <c r="X51" s="4"/>
      <c r="Y51" s="4"/>
      <c r="Z51" s="4"/>
    </row>
    <row r="52">
      <c r="A52" s="4"/>
      <c r="B52" s="16" t="s">
        <v>242</v>
      </c>
      <c r="C52" s="17" t="s">
        <v>243</v>
      </c>
      <c r="D52" s="18" t="s">
        <v>244</v>
      </c>
      <c r="E52" s="19" t="s">
        <v>49</v>
      </c>
      <c r="F52" s="20">
        <v>5.0</v>
      </c>
      <c r="G52" s="20">
        <v>5.0</v>
      </c>
      <c r="H52" s="20" t="s">
        <v>55</v>
      </c>
      <c r="I52" s="18" t="s">
        <v>245</v>
      </c>
      <c r="J52" s="4"/>
      <c r="K52" s="4"/>
      <c r="L52" s="4"/>
      <c r="M52" s="4"/>
      <c r="N52" s="4"/>
      <c r="O52" s="4"/>
      <c r="P52" s="4"/>
      <c r="Q52" s="4"/>
      <c r="R52" s="4"/>
      <c r="S52" s="4"/>
      <c r="T52" s="4"/>
      <c r="U52" s="4"/>
      <c r="V52" s="4"/>
      <c r="W52" s="4"/>
      <c r="X52" s="4"/>
      <c r="Y52" s="4"/>
      <c r="Z52" s="4"/>
    </row>
    <row r="53">
      <c r="A53" s="4"/>
      <c r="B53" s="16" t="s">
        <v>246</v>
      </c>
      <c r="C53" s="17" t="s">
        <v>247</v>
      </c>
      <c r="D53" s="18" t="s">
        <v>248</v>
      </c>
      <c r="E53" s="19" t="s">
        <v>49</v>
      </c>
      <c r="F53" s="20">
        <v>5.0</v>
      </c>
      <c r="G53" s="20">
        <v>5.0</v>
      </c>
      <c r="H53" s="20" t="s">
        <v>55</v>
      </c>
      <c r="I53" s="18" t="s">
        <v>245</v>
      </c>
      <c r="J53" s="4"/>
      <c r="K53" s="4"/>
      <c r="L53" s="4"/>
      <c r="M53" s="4"/>
      <c r="N53" s="4"/>
      <c r="O53" s="4"/>
      <c r="P53" s="4"/>
      <c r="Q53" s="4"/>
      <c r="R53" s="4"/>
      <c r="S53" s="4"/>
      <c r="T53" s="4"/>
      <c r="U53" s="4"/>
      <c r="V53" s="4"/>
      <c r="W53" s="4"/>
      <c r="X53" s="4"/>
      <c r="Y53" s="4"/>
      <c r="Z53" s="4"/>
    </row>
    <row r="54">
      <c r="A54" s="4"/>
      <c r="B54" s="16" t="s">
        <v>249</v>
      </c>
      <c r="C54" s="17" t="s">
        <v>250</v>
      </c>
      <c r="D54" s="24" t="s">
        <v>251</v>
      </c>
      <c r="E54" s="25" t="s">
        <v>252</v>
      </c>
      <c r="F54" s="20">
        <v>8.0</v>
      </c>
      <c r="G54" s="20">
        <v>7.0</v>
      </c>
      <c r="H54" s="20" t="s">
        <v>50</v>
      </c>
      <c r="I54" s="18" t="s">
        <v>253</v>
      </c>
      <c r="J54" s="4"/>
      <c r="K54" s="4"/>
      <c r="L54" s="4"/>
      <c r="M54" s="4"/>
      <c r="N54" s="4"/>
      <c r="O54" s="4"/>
      <c r="P54" s="4"/>
      <c r="Q54" s="4"/>
      <c r="R54" s="4"/>
      <c r="S54" s="4"/>
      <c r="T54" s="4"/>
      <c r="U54" s="4"/>
      <c r="V54" s="4"/>
      <c r="W54" s="4"/>
      <c r="X54" s="4"/>
      <c r="Y54" s="4"/>
      <c r="Z54" s="4"/>
    </row>
    <row r="55" ht="15.75" customHeight="1">
      <c r="A55" s="2"/>
      <c r="K55" s="4"/>
      <c r="L55" s="4"/>
      <c r="M55" s="4"/>
      <c r="N55" s="4"/>
      <c r="O55" s="4"/>
      <c r="P55" s="4"/>
      <c r="Q55" s="4"/>
      <c r="R55" s="4"/>
      <c r="S55" s="4"/>
      <c r="T55" s="4"/>
      <c r="U55" s="4"/>
      <c r="V55" s="4"/>
      <c r="W55" s="4"/>
      <c r="X55" s="4"/>
      <c r="Y55" s="4"/>
      <c r="Z55" s="4"/>
    </row>
    <row r="56" ht="15.75" customHeight="1">
      <c r="K56" s="4"/>
      <c r="L56" s="4"/>
      <c r="M56" s="4"/>
      <c r="N56" s="4"/>
      <c r="O56" s="4"/>
      <c r="P56" s="4"/>
      <c r="Q56" s="4"/>
      <c r="R56" s="4"/>
      <c r="S56" s="4"/>
      <c r="T56" s="4"/>
      <c r="U56" s="4"/>
      <c r="V56" s="4"/>
      <c r="W56" s="4"/>
      <c r="X56" s="4"/>
      <c r="Y56" s="4"/>
      <c r="Z56" s="4"/>
    </row>
    <row r="57" ht="15.75" customHeight="1">
      <c r="K57" s="4"/>
      <c r="L57" s="4"/>
      <c r="M57" s="4"/>
      <c r="N57" s="4"/>
      <c r="O57" s="4"/>
      <c r="P57" s="4"/>
      <c r="Q57" s="4"/>
      <c r="R57" s="4"/>
      <c r="S57" s="4"/>
      <c r="T57" s="4"/>
      <c r="U57" s="4"/>
      <c r="V57" s="4"/>
      <c r="W57" s="4"/>
      <c r="X57" s="4"/>
      <c r="Y57" s="4"/>
      <c r="Z57" s="4"/>
    </row>
    <row r="58" ht="15.75" customHeight="1">
      <c r="K58" s="4"/>
      <c r="L58" s="4"/>
      <c r="M58" s="4"/>
      <c r="N58" s="4"/>
      <c r="O58" s="4"/>
      <c r="P58" s="4"/>
      <c r="Q58" s="4"/>
      <c r="R58" s="4"/>
      <c r="S58" s="4"/>
      <c r="T58" s="4"/>
      <c r="U58" s="4"/>
      <c r="V58" s="4"/>
      <c r="W58" s="4"/>
      <c r="X58" s="4"/>
      <c r="Y58" s="4"/>
      <c r="Z58" s="4"/>
    </row>
    <row r="59" ht="15.75" customHeight="1">
      <c r="K59" s="4"/>
      <c r="L59" s="4"/>
      <c r="M59" s="4"/>
      <c r="N59" s="4"/>
      <c r="O59" s="4"/>
      <c r="P59" s="4"/>
      <c r="Q59" s="4"/>
      <c r="R59" s="4"/>
      <c r="S59" s="4"/>
      <c r="T59" s="4"/>
      <c r="U59" s="4"/>
      <c r="V59" s="4"/>
      <c r="W59" s="4"/>
      <c r="X59" s="4"/>
      <c r="Y59" s="4"/>
      <c r="Z59" s="4"/>
    </row>
    <row r="60" ht="15.75" customHeight="1">
      <c r="K60" s="4"/>
      <c r="L60" s="4"/>
      <c r="M60" s="4"/>
      <c r="N60" s="4"/>
      <c r="O60" s="4"/>
      <c r="P60" s="4"/>
      <c r="Q60" s="4"/>
      <c r="R60" s="4"/>
      <c r="S60" s="4"/>
      <c r="T60" s="4"/>
      <c r="U60" s="4"/>
      <c r="V60" s="4"/>
      <c r="W60" s="4"/>
      <c r="X60" s="4"/>
      <c r="Y60" s="4"/>
      <c r="Z60" s="4"/>
    </row>
    <row r="61" ht="15.75" customHeight="1">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55:J61"/>
  </mergeCells>
  <printOptions/>
  <pageMargins bottom="0.747916666666667" footer="0.0" header="0.0" left="0.236111111111111" right="0.236111111111111" top="0.747916666666667"/>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62.0"/>
    <col customWidth="1" min="3" max="3" width="52.0"/>
    <col customWidth="1" min="4" max="26" width="8.71"/>
  </cols>
  <sheetData>
    <row r="1" ht="19.5" customHeight="1">
      <c r="A1" s="1" t="s">
        <v>0</v>
      </c>
      <c r="B1" s="2"/>
      <c r="C1" s="2"/>
    </row>
    <row r="2" ht="48.0" customHeight="1">
      <c r="A2" s="3" t="s">
        <v>1</v>
      </c>
    </row>
    <row r="3">
      <c r="A3" s="2"/>
      <c r="B3" s="2"/>
      <c r="C3" s="2"/>
    </row>
    <row r="4" ht="15.0" customHeight="1">
      <c r="A4" s="5" t="s">
        <v>2</v>
      </c>
      <c r="B4" s="5" t="s">
        <v>4</v>
      </c>
      <c r="C4" s="5" t="s">
        <v>5</v>
      </c>
    </row>
    <row r="5" ht="33.0" customHeight="1">
      <c r="A5" s="7">
        <v>1.0</v>
      </c>
      <c r="B5" s="8" t="s">
        <v>7</v>
      </c>
      <c r="C5" s="8" t="s">
        <v>8</v>
      </c>
    </row>
    <row r="6" ht="33.0" customHeight="1">
      <c r="A6" s="7">
        <v>2.0</v>
      </c>
      <c r="B6" s="8" t="s">
        <v>10</v>
      </c>
      <c r="C6" s="8" t="s">
        <v>11</v>
      </c>
    </row>
    <row r="7" ht="33.0" customHeight="1">
      <c r="A7" s="7">
        <v>3.0</v>
      </c>
      <c r="B7" s="8" t="s">
        <v>12</v>
      </c>
      <c r="C7" s="8" t="s">
        <v>13</v>
      </c>
    </row>
    <row r="8" ht="33.0" customHeight="1">
      <c r="A8" s="7">
        <v>5.0</v>
      </c>
      <c r="B8" s="8" t="s">
        <v>14</v>
      </c>
      <c r="C8" s="8" t="s">
        <v>15</v>
      </c>
    </row>
    <row r="9" ht="33.0" customHeight="1">
      <c r="A9" s="7">
        <v>8.0</v>
      </c>
      <c r="B9" s="8" t="s">
        <v>17</v>
      </c>
      <c r="C9" s="8" t="s">
        <v>18</v>
      </c>
    </row>
    <row r="10" ht="33.0" customHeight="1">
      <c r="A10" s="7">
        <v>13.0</v>
      </c>
      <c r="B10" s="8" t="s">
        <v>19</v>
      </c>
      <c r="C10" s="8" t="s">
        <v>20</v>
      </c>
    </row>
    <row r="11">
      <c r="A11" s="2"/>
      <c r="B11" s="2"/>
      <c r="C11" s="2"/>
    </row>
    <row r="12" ht="15.0" customHeight="1">
      <c r="A12" s="11" t="s">
        <v>22</v>
      </c>
      <c r="B12" s="2"/>
      <c r="C12" s="2"/>
    </row>
    <row r="13" ht="15.0" customHeight="1">
      <c r="A13" s="2" t="s">
        <v>23</v>
      </c>
      <c r="B13" s="2"/>
      <c r="C13" s="2"/>
    </row>
    <row r="14" ht="15.0" customHeight="1">
      <c r="A14" s="2" t="s">
        <v>24</v>
      </c>
      <c r="B14" s="2"/>
      <c r="C14" s="2"/>
    </row>
    <row r="15" ht="15.0" customHeight="1">
      <c r="A15" s="2" t="s">
        <v>25</v>
      </c>
      <c r="B15" s="2"/>
      <c r="C15" s="2"/>
    </row>
    <row r="16" ht="15.0" customHeight="1">
      <c r="A16" s="2" t="s">
        <v>27</v>
      </c>
      <c r="B16" s="2"/>
      <c r="C16" s="2"/>
    </row>
    <row r="17">
      <c r="A17" s="2"/>
      <c r="B17" s="2"/>
      <c r="C17" s="2"/>
    </row>
    <row r="18" ht="15.0" customHeight="1">
      <c r="A18" s="11" t="s">
        <v>29</v>
      </c>
      <c r="B18" s="2"/>
      <c r="C18" s="2"/>
    </row>
    <row r="19" ht="15.0" customHeight="1">
      <c r="A19" s="5" t="s">
        <v>30</v>
      </c>
      <c r="B19" s="5" t="s">
        <v>2</v>
      </c>
      <c r="C19" s="5" t="s">
        <v>32</v>
      </c>
    </row>
    <row r="20" ht="15.0" customHeight="1">
      <c r="A20" s="13">
        <v>3.0</v>
      </c>
      <c r="B20" s="13">
        <f>SUMIF('Historias de Usuario'!$G$5:$G$54,A20,'Historias de Usuario'!$F$5:$F$54)</f>
        <v>37</v>
      </c>
      <c r="C20" s="13">
        <f>COUNTIF('Historias de Usuario'!$G$5:$G$54,A20)</f>
        <v>10</v>
      </c>
    </row>
    <row r="21" ht="15.0" customHeight="1">
      <c r="A21" s="13">
        <v>4.0</v>
      </c>
      <c r="B21" s="13">
        <f>SUMIF('Historias de Usuario'!$G$5:$G$54,A21,'Historias de Usuario'!$F$5:$F$54)</f>
        <v>33</v>
      </c>
      <c r="C21" s="13">
        <f>COUNTIF('Historias de Usuario'!$G$5:$G$54,A21)</f>
        <v>9</v>
      </c>
    </row>
    <row r="22" ht="15.0" customHeight="1">
      <c r="A22" s="13">
        <v>5.0</v>
      </c>
      <c r="B22" s="13">
        <f>SUMIF('Historias de Usuario'!$G$5:$G$54,A22,'Historias de Usuario'!$F$5:$F$54)</f>
        <v>101</v>
      </c>
      <c r="C22" s="13">
        <f>COUNTIF('Historias de Usuario'!$G$5:$G$54,A22)</f>
        <v>21</v>
      </c>
    </row>
    <row r="23" ht="15.0" customHeight="1">
      <c r="A23" s="13">
        <v>6.0</v>
      </c>
      <c r="B23" s="13">
        <f>SUMIF('Historias de Usuario'!$G$5:$G$54,A23,'Historias de Usuario'!$F$5:$F$54)</f>
        <v>44</v>
      </c>
      <c r="C23" s="13">
        <f>COUNTIF('Historias de Usuario'!$G$5:$G$54,A23)</f>
        <v>7</v>
      </c>
    </row>
    <row r="24" ht="15.0" customHeight="1">
      <c r="A24" s="13">
        <v>7.0</v>
      </c>
      <c r="B24" s="13">
        <f>SUMIF('Historias de Usuario'!$G$5:$G$54,A24,'Historias de Usuario'!$F$5:$F$54)</f>
        <v>8</v>
      </c>
      <c r="C24" s="13">
        <f>COUNTIF('Historias de Usuario'!$G$5:$G$54,A24)</f>
        <v>1</v>
      </c>
    </row>
    <row r="25" ht="15.0" customHeight="1">
      <c r="A25" s="13" t="s">
        <v>57</v>
      </c>
      <c r="B25" s="13">
        <f>SUMIF('Historias de Usuario'!$G$5:$G$54,A25,'Historias de Usuario'!$F$5:$F$54)</f>
        <v>13</v>
      </c>
      <c r="C25" s="13">
        <f>COUNTIF('Historias de Usuario'!$G$5:$G$54,A25)</f>
        <v>2</v>
      </c>
    </row>
    <row r="26" ht="15.0" customHeight="1">
      <c r="A26" s="7" t="s">
        <v>69</v>
      </c>
      <c r="B26" s="7">
        <f t="shared" ref="B26:C26" si="1">SUM(B20:B25)</f>
        <v>236</v>
      </c>
      <c r="C26" s="7">
        <f t="shared" si="1"/>
        <v>50</v>
      </c>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mergeCells count="1">
    <mergeCell ref="A2:C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ht="33.75" customHeight="1">
      <c r="A1" s="4"/>
      <c r="B1" s="6" t="s">
        <v>3</v>
      </c>
      <c r="C1" s="4"/>
      <c r="D1" s="4"/>
      <c r="E1" s="4"/>
      <c r="F1" s="4"/>
      <c r="G1" s="4"/>
      <c r="H1" s="4"/>
      <c r="I1" s="4"/>
      <c r="J1" s="4"/>
      <c r="K1" s="4"/>
      <c r="L1" s="4"/>
      <c r="M1" s="4"/>
      <c r="N1" s="4"/>
      <c r="O1" s="4"/>
      <c r="P1" s="4"/>
      <c r="Q1" s="4"/>
      <c r="R1" s="4"/>
      <c r="S1" s="4"/>
      <c r="T1" s="4"/>
      <c r="U1" s="4"/>
      <c r="V1" s="4"/>
      <c r="W1" s="4"/>
      <c r="X1" s="4"/>
      <c r="Y1" s="4"/>
      <c r="Z1" s="4"/>
    </row>
    <row r="2" ht="19.5" customHeight="1">
      <c r="A2" s="4"/>
      <c r="B2" s="9" t="s">
        <v>9</v>
      </c>
      <c r="C2" s="4"/>
      <c r="D2" s="4"/>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15.0" customHeight="1">
      <c r="A4" s="4"/>
      <c r="B4" s="10" t="s">
        <v>16</v>
      </c>
      <c r="C4" s="10" t="s">
        <v>21</v>
      </c>
      <c r="D4" s="4"/>
      <c r="E4" s="4"/>
      <c r="F4" s="4"/>
      <c r="G4" s="4"/>
      <c r="H4" s="4"/>
      <c r="I4" s="4"/>
      <c r="J4" s="4"/>
      <c r="K4" s="4"/>
      <c r="L4" s="4"/>
      <c r="M4" s="4"/>
      <c r="N4" s="4"/>
      <c r="O4" s="4"/>
      <c r="P4" s="4"/>
      <c r="Q4" s="4"/>
      <c r="R4" s="4"/>
      <c r="S4" s="4"/>
      <c r="T4" s="4"/>
      <c r="U4" s="4"/>
      <c r="V4" s="4"/>
      <c r="W4" s="4"/>
      <c r="X4" s="4"/>
      <c r="Y4" s="4"/>
      <c r="Z4" s="4"/>
    </row>
    <row r="5" ht="41.25" customHeight="1">
      <c r="A5" s="4"/>
      <c r="B5" s="12" t="s">
        <v>26</v>
      </c>
      <c r="C5" s="12" t="s">
        <v>28</v>
      </c>
      <c r="D5" s="4"/>
      <c r="E5" s="4"/>
      <c r="F5" s="4"/>
      <c r="G5" s="4"/>
      <c r="H5" s="4"/>
      <c r="I5" s="4"/>
      <c r="J5" s="4"/>
      <c r="K5" s="4"/>
      <c r="L5" s="4"/>
      <c r="M5" s="4"/>
      <c r="N5" s="4"/>
      <c r="O5" s="4"/>
      <c r="P5" s="4"/>
      <c r="Q5" s="4"/>
      <c r="R5" s="4"/>
      <c r="S5" s="4"/>
      <c r="T5" s="4"/>
      <c r="U5" s="4"/>
      <c r="V5" s="4"/>
      <c r="W5" s="4"/>
      <c r="X5" s="4"/>
      <c r="Y5" s="4"/>
      <c r="Z5" s="4"/>
    </row>
    <row r="6" ht="68.25" customHeight="1">
      <c r="A6" s="4"/>
      <c r="B6" s="12" t="s">
        <v>31</v>
      </c>
      <c r="C6" s="12" t="s">
        <v>33</v>
      </c>
      <c r="D6" s="4"/>
      <c r="E6" s="4"/>
      <c r="F6" s="4"/>
      <c r="G6" s="4"/>
      <c r="H6" s="4"/>
      <c r="I6" s="4"/>
      <c r="J6" s="4"/>
      <c r="K6" s="4"/>
      <c r="L6" s="4"/>
      <c r="M6" s="4"/>
      <c r="N6" s="4"/>
      <c r="O6" s="4"/>
      <c r="P6" s="4"/>
      <c r="Q6" s="4"/>
      <c r="R6" s="4"/>
      <c r="S6" s="4"/>
      <c r="T6" s="4"/>
      <c r="U6" s="4"/>
      <c r="V6" s="4"/>
      <c r="W6" s="4"/>
      <c r="X6" s="4"/>
      <c r="Y6" s="4"/>
      <c r="Z6" s="4"/>
    </row>
    <row r="7" ht="41.25" customHeight="1">
      <c r="A7" s="4"/>
      <c r="B7" s="12" t="s">
        <v>34</v>
      </c>
      <c r="C7" s="12" t="s">
        <v>35</v>
      </c>
      <c r="D7" s="4"/>
      <c r="E7" s="4"/>
      <c r="F7" s="4"/>
      <c r="G7" s="4"/>
      <c r="H7" s="4"/>
      <c r="I7" s="4"/>
      <c r="J7" s="4"/>
      <c r="K7" s="4"/>
      <c r="L7" s="4"/>
      <c r="M7" s="4"/>
      <c r="N7" s="4"/>
      <c r="O7" s="4"/>
      <c r="P7" s="4"/>
      <c r="Q7" s="4"/>
      <c r="R7" s="4"/>
      <c r="S7" s="4"/>
      <c r="T7" s="4"/>
      <c r="U7" s="4"/>
      <c r="V7" s="4"/>
      <c r="W7" s="4"/>
      <c r="X7" s="4"/>
      <c r="Y7" s="4"/>
      <c r="Z7" s="4"/>
    </row>
    <row r="8" ht="202.5" customHeight="1">
      <c r="A8" s="4"/>
      <c r="B8" s="12" t="s">
        <v>36</v>
      </c>
      <c r="C8" s="12" t="s">
        <v>37</v>
      </c>
      <c r="D8" s="4"/>
      <c r="E8" s="4"/>
      <c r="F8" s="4"/>
      <c r="G8" s="4"/>
      <c r="H8" s="4"/>
      <c r="I8" s="4"/>
      <c r="J8" s="4"/>
      <c r="K8" s="4"/>
      <c r="L8" s="4"/>
      <c r="M8" s="4"/>
      <c r="N8" s="4"/>
      <c r="O8" s="4"/>
      <c r="P8" s="4"/>
      <c r="Q8" s="4"/>
      <c r="R8" s="4"/>
      <c r="S8" s="4"/>
      <c r="T8" s="4"/>
      <c r="U8" s="4"/>
      <c r="V8" s="4"/>
      <c r="W8" s="4"/>
      <c r="X8" s="4"/>
      <c r="Y8" s="4"/>
      <c r="Z8" s="4"/>
    </row>
    <row r="9" ht="50.25" customHeight="1">
      <c r="A9" s="4"/>
      <c r="B9" s="12" t="s">
        <v>38</v>
      </c>
      <c r="C9" s="12" t="s">
        <v>39</v>
      </c>
      <c r="D9" s="4"/>
      <c r="E9" s="4"/>
      <c r="F9" s="4"/>
      <c r="G9" s="4"/>
      <c r="H9" s="4"/>
      <c r="I9" s="4"/>
      <c r="J9" s="4"/>
      <c r="K9" s="4"/>
      <c r="L9" s="4"/>
      <c r="M9" s="4"/>
      <c r="N9" s="4"/>
      <c r="O9" s="4"/>
      <c r="P9" s="4"/>
      <c r="Q9" s="4"/>
      <c r="R9" s="4"/>
      <c r="S9" s="4"/>
      <c r="T9" s="4"/>
      <c r="U9" s="4"/>
      <c r="V9" s="4"/>
      <c r="W9" s="4"/>
      <c r="X9" s="4"/>
      <c r="Y9" s="4"/>
      <c r="Z9" s="4"/>
    </row>
    <row r="10" ht="54.75" customHeight="1">
      <c r="A10" s="4"/>
      <c r="B10" s="12" t="s">
        <v>40</v>
      </c>
      <c r="C10" s="12" t="s">
        <v>41</v>
      </c>
      <c r="D10" s="4"/>
      <c r="E10" s="4"/>
      <c r="F10" s="4"/>
      <c r="G10" s="4"/>
      <c r="H10" s="4"/>
      <c r="I10" s="4"/>
      <c r="J10" s="4"/>
      <c r="K10" s="4"/>
      <c r="L10" s="4"/>
      <c r="M10" s="4"/>
      <c r="N10" s="4"/>
      <c r="O10" s="4"/>
      <c r="P10" s="4"/>
      <c r="Q10" s="4"/>
      <c r="R10" s="4"/>
      <c r="S10" s="4"/>
      <c r="T10" s="4"/>
      <c r="U10" s="4"/>
      <c r="V10" s="4"/>
      <c r="W10" s="4"/>
      <c r="X10" s="4"/>
      <c r="Y10" s="4"/>
      <c r="Z10" s="4"/>
    </row>
    <row r="11" ht="54.75" customHeight="1">
      <c r="A11" s="4"/>
      <c r="B11" s="12" t="s">
        <v>42</v>
      </c>
      <c r="C11" s="12" t="s">
        <v>43</v>
      </c>
      <c r="D11" s="4"/>
      <c r="E11" s="4"/>
      <c r="F11" s="4"/>
      <c r="G11" s="4"/>
      <c r="H11" s="4"/>
      <c r="I11" s="4"/>
      <c r="J11" s="4"/>
      <c r="K11" s="4"/>
      <c r="L11" s="4"/>
      <c r="M11" s="4"/>
      <c r="N11" s="4"/>
      <c r="O11" s="4"/>
      <c r="P11" s="4"/>
      <c r="Q11" s="4"/>
      <c r="R11" s="4"/>
      <c r="S11" s="4"/>
      <c r="T11" s="4"/>
      <c r="U11" s="4"/>
      <c r="V11" s="4"/>
      <c r="W11" s="4"/>
      <c r="X11" s="4"/>
      <c r="Y11" s="4"/>
      <c r="Z11" s="4"/>
    </row>
    <row r="12" ht="27.75" customHeight="1">
      <c r="A12" s="4"/>
      <c r="B12" s="12" t="s">
        <v>44</v>
      </c>
      <c r="C12" s="12" t="s">
        <v>45</v>
      </c>
      <c r="D12" s="4"/>
      <c r="E12" s="4"/>
      <c r="F12" s="4"/>
      <c r="G12" s="4"/>
      <c r="H12" s="4"/>
      <c r="I12" s="4"/>
      <c r="J12" s="4"/>
      <c r="K12" s="4"/>
      <c r="L12" s="4"/>
      <c r="M12" s="4"/>
      <c r="N12" s="4"/>
      <c r="O12" s="4"/>
      <c r="P12" s="4"/>
      <c r="Q12" s="4"/>
      <c r="R12" s="4"/>
      <c r="S12" s="4"/>
      <c r="T12" s="4"/>
      <c r="U12" s="4"/>
      <c r="V12" s="4"/>
      <c r="W12" s="4"/>
      <c r="X12" s="4"/>
      <c r="Y12" s="4"/>
      <c r="Z12" s="4"/>
    </row>
    <row r="13" ht="15.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